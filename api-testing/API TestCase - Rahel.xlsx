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Log" sheetId="2" r:id="rId6"/>
    <sheet state="visible" name="Ringkasan" sheetId="3" r:id="rId7"/>
  </sheets>
  <definedNames>
    <definedName hidden="1" localSheetId="0" name="_xlnm._FilterDatabase">'Test Cases'!$A$4:$Q$64</definedName>
    <definedName hidden="1" localSheetId="1" name="_xlnm._FilterDatabase">'Bug Log'!$A$3:$L$63</definedName>
  </definedNames>
  <calcPr/>
</workbook>
</file>

<file path=xl/sharedStrings.xml><?xml version="1.0" encoding="utf-8"?>
<sst xmlns="http://schemas.openxmlformats.org/spreadsheetml/2006/main" count="207" uniqueCount="129">
  <si>
    <t>BUG LOG (API)</t>
  </si>
  <si>
    <t>API TEST CASE SHEET</t>
  </si>
  <si>
    <t>Satu bug = satu baris. Kolom 'Related TC' mengacu ke TC ID di sheet Test Cases. Kolom 'Request' berisi method dan endpoint, misalnya POST /posts.</t>
  </si>
  <si>
    <t>Bug ID</t>
  </si>
  <si>
    <t>Title</t>
  </si>
  <si>
    <t>Related TC</t>
  </si>
  <si>
    <t>Severity</t>
  </si>
  <si>
    <t>Environment</t>
  </si>
  <si>
    <t>Request</t>
  </si>
  <si>
    <t>Steps to Reproduce</t>
  </si>
  <si>
    <t>Expected Result</t>
  </si>
  <si>
    <t>Actual Result</t>
  </si>
  <si>
    <t>Status</t>
  </si>
  <si>
    <t>Reported Date</t>
  </si>
  <si>
    <t>Attachment (link)</t>
  </si>
  <si>
    <t>Project:</t>
  </si>
  <si>
    <t>JSONPlaceholder API</t>
  </si>
  <si>
    <t>Tester:</t>
  </si>
  <si>
    <t>Rahel Anastasya Pithaloka</t>
  </si>
  <si>
    <t>Date:</t>
  </si>
  <si>
    <t>2026-10-20</t>
  </si>
  <si>
    <t>Environment:</t>
  </si>
  <si>
    <t>Postman, macOS 15.5, base URL: https://jsonplaceholder.typicode.com</t>
  </si>
  <si>
    <t>TC ID</t>
  </si>
  <si>
    <t>Module / Endpoint</t>
  </si>
  <si>
    <t>Scenario</t>
  </si>
  <si>
    <t>Type</t>
  </si>
  <si>
    <t>Method</t>
  </si>
  <si>
    <t>Endpoint</t>
  </si>
  <si>
    <t>Precondition</t>
  </si>
  <si>
    <t>Request Data</t>
  </si>
  <si>
    <t>Test Steps</t>
  </si>
  <si>
    <t>Actual Status Code</t>
  </si>
  <si>
    <t>Response Time (ms)</t>
  </si>
  <si>
    <t>Evidence</t>
  </si>
  <si>
    <t>Notes</t>
  </si>
  <si>
    <t>TC-API-POSTS-01</t>
  </si>
  <si>
    <t>Posts</t>
  </si>
  <si>
    <t>Get all posts</t>
  </si>
  <si>
    <t>Positive</t>
  </si>
  <si>
    <t>GET</t>
  </si>
  <si>
    <t>/posts</t>
  </si>
  <si>
    <t>1. Postman is open and the collection is imported
2. Internet connection is available</t>
  </si>
  <si>
    <t>-</t>
  </si>
  <si>
    <t>1. Open the request TC-API-POSTS-01 in the collection
2. Click Send
3. Check the status code, response time, and response body in Postman</t>
  </si>
  <si>
    <t>1. Status code is 200
2. Response is an array of 100 posts
3. The first post has userId, id, title, and body with the correct data types
4. Content-Type is JSON
5. Response time is below 2000 ms</t>
  </si>
  <si>
    <t>1. Status code was 200
2. Response was an array of 100 posts
3. The first post had userId, id, title, and body with the correct data types
4. Content-Type was JSON
5. Response time was 41 ms</t>
  </si>
  <si>
    <t>Pass</t>
  </si>
  <si>
    <t>TC-API-POSTS-02</t>
  </si>
  <si>
    <t>Get a single post</t>
  </si>
  <si>
    <t>/posts/1</t>
  </si>
  <si>
    <t>1. Postman is open and the collection is imported
2. Internet connection is available
3. Post with id 1 exists</t>
  </si>
  <si>
    <t>1. Open the request TC-API-POSTS-02 in the collection
2. Click Send
3. Check the status code, response time, and response body in Postman</t>
  </si>
  <si>
    <t>1. Status code is 200
2. Post id is 1
3. Post has userId, id, title, and body, and the title is not empty
4. Content-Type is JSON
5. Response time is below 2000 ms</t>
  </si>
  <si>
    <t>1. Status code was 200
2. Post id was 1
3. The post had userId, id, title, and body, and the title was not empty
4. Content-Type was JSON
5. Response time was 1730 ms</t>
  </si>
  <si>
    <t>Response time was close to the 2000 ms limit</t>
  </si>
  <si>
    <t>TC-API-POSTS-03</t>
  </si>
  <si>
    <t>Filter posts by userId</t>
  </si>
  <si>
    <t>/posts?userId=1</t>
  </si>
  <si>
    <t>Query parameter: userId = 1</t>
  </si>
  <si>
    <t>1. Open the request TC-API-POSTS-03 in the collection
2. Check the request body or parameters
3. Click Send
4. Check the status code, response time, and response body in Postman</t>
  </si>
  <si>
    <t>1. Status code is 200
2. Response is a non-empty array
3. Every post belongs to userId 1
4. Content-Type is JSON
5. Response time is below 2000 ms</t>
  </si>
  <si>
    <t>1. Status code was 200
2. Response was a non-empty array
3. Every post belonged to userId 1
4. Content-Type was JSON
5. Response time was 291 ms</t>
  </si>
  <si>
    <t>TC-API-POSTS-04</t>
  </si>
  <si>
    <t>Create a post</t>
  </si>
  <si>
    <t>POST</t>
  </si>
  <si>
    <t>Header: Content-Type = application/json
Body:
{
  "title": "QA test post API (by Rahel)",
  "body": "Created from the Postman collection",
  "userId": 1
}</t>
  </si>
  <si>
    <t>1. Open the request TC-API-POSTS-04 in the collection
2. Check the request body or parameters
3. Click Send
4. Check the status code, response time, and response body in Postman</t>
  </si>
  <si>
    <t>1. Status code is 201
2. Response contains the same title, body, and userId that were sent
3. A new id is returned
4. Content-Type is JSON
5. Response time is below 2000 ms</t>
  </si>
  <si>
    <t>1. Status code was 201
2. Response contained the same title, body, and userId that were sent
3. A new id was returned
4. Content-Type was JSON
5. Response time was 322 ms</t>
  </si>
  <si>
    <t>TC-API-POSTS-05</t>
  </si>
  <si>
    <t>Update a post (PUT)</t>
  </si>
  <si>
    <t>PUT</t>
  </si>
  <si>
    <t>Header: Content-Type = application/json
Body:
{
  "id": 1,
  "title": "New title",
  "body": "New body",
  "userId": 1
}</t>
  </si>
  <si>
    <t>1. Open the request TC-API-POSTS-05 in the collection
2. Check the request body or parameters
3. Click Send
4. Check the status code, response time, and response body in Postman</t>
  </si>
  <si>
    <t>1. Status code is 200
2. Post id stays 1
3. Response contains the updated title, body, and userId
4. Content-Type is JSON
5. Response time is below 2000 ms</t>
  </si>
  <si>
    <t>1. Status code was 200
2. Post id stayed 1
3. Response contained the updated title, body, and userId
4. Content-Type was JSON
5. Response time was 636 ms</t>
  </si>
  <si>
    <t>TC-API-POSTS-06</t>
  </si>
  <si>
    <t>Partially update a post (PATCH)</t>
  </si>
  <si>
    <t>PATCH</t>
  </si>
  <si>
    <t>Header: Content-Type = application/json
Body:
{
  "title": "Only changes the title"
}</t>
  </si>
  <si>
    <t>1. Open the request TC-API-POSTS-06 in the collection
2. Check the request body or parameters
3. Click Send
4. Check the status code, response time, and response body in Postman</t>
  </si>
  <si>
    <t>1. Status code is 200
2. Title is updated
3. Other fields (id, userId, body) are still present
4. Content-Type is JSON
5. Response time is below 2000 ms</t>
  </si>
  <si>
    <t>1. Status code was 200
2. Title was updated
3. The other fields (id, userId, body) were still present
4. Content-Type was JSON
5. Response time was 314 ms</t>
  </si>
  <si>
    <t>TC-API-POSTS-07</t>
  </si>
  <si>
    <t>Delete a post</t>
  </si>
  <si>
    <t>DELETE</t>
  </si>
  <si>
    <t>1. Open the request TC-API-POSTS-07 in the collection
2. Click Send
3. Check the status code, response time, and response body in Postman</t>
  </si>
  <si>
    <t>1. Status code is 200
2. Response body is empty
3. Content-Type is JSON
4. Response time is below 2000 ms</t>
  </si>
  <si>
    <t>1. Status code was 200
2. Response body was empty
3. Content-Type was JSON
4. Response time was 337 ms</t>
  </si>
  <si>
    <t>TC-API-USERS-01</t>
  </si>
  <si>
    <t>Users</t>
  </si>
  <si>
    <t>Get a user</t>
  </si>
  <si>
    <t>/users/1</t>
  </si>
  <si>
    <t>1. Postman is open and the collection is imported
2. Internet connection is available
3. User with id 1 exists</t>
  </si>
  <si>
    <t>1. Open the request TC-API-USERS-01 in the collection
2. Click Send
3. Check the status code, response time, and response body in Postman</t>
  </si>
  <si>
    <t>1. Status code is 200
2. User id is 1
3. Name and username are not empty
4. Email has a valid format
5. Address (including geo) and company are objects
6. Content-Type is JSON
7. Response time is below 2000 ms</t>
  </si>
  <si>
    <t>1. Status code was 200
2. User id was 1
3. Name and username were not empty
4. Email had a valid format
5. Address (including geo) and company were objects
6. Content-Type was JSON
7. Response time was 502 ms</t>
  </si>
  <si>
    <t>TC-API-COMMENTS-01</t>
  </si>
  <si>
    <t>Comments</t>
  </si>
  <si>
    <t>Get comments of a post</t>
  </si>
  <si>
    <t>/posts/1/comments</t>
  </si>
  <si>
    <t>1. Open the request TC-API-COMMENTS-01 in the collection
2. Click Send
3. Check the status code, response time, and response body in Postman</t>
  </si>
  <si>
    <t>1. Status code is 200
2. Response is a non-empty array
3. Every comment belongs to post 1
4. Every comment has a valid email
5. Content-Type is JSON
6. Response time is below 2000 ms</t>
  </si>
  <si>
    <t>1. Status code was 200
2. Response was a non-empty array
3. Every comment belonged to post 1
4. Every comment had a valid email
5. Content-Type was JSON
6. Response time was 253 ms</t>
  </si>
  <si>
    <t>TC-API-NEG-01</t>
  </si>
  <si>
    <t>Negative</t>
  </si>
  <si>
    <t>Get a post that does not exist</t>
  </si>
  <si>
    <t>API TEST SUMMARY</t>
  </si>
  <si>
    <t>/posts/9999</t>
  </si>
  <si>
    <t>1. Postman is open and the collection is imported
2. Internet connection is available
3. Post with id 9999 does not exist</t>
  </si>
  <si>
    <t>1. Open the request TC-API-NEG-01 in the collection
2. Click Send
3. Check the status code, response time, and response body in Postman</t>
  </si>
  <si>
    <t>1. Status code is 404
2. Response body is empty
3. Content-Type is JSON
4. Response time is below 2000 ms</t>
  </si>
  <si>
    <t>1. Status code was 404
2. Response body was empty
3. Content-Type was JSON
4. Response time was 352 ms</t>
  </si>
  <si>
    <t>Dihitung otomatis dari sheet Test Cases dan Bug Log. Tidak perlu diisi.</t>
  </si>
  <si>
    <t>Total Test Cases</t>
  </si>
  <si>
    <t>Fail</t>
  </si>
  <si>
    <t>Blocked</t>
  </si>
  <si>
    <t>Not Run</t>
  </si>
  <si>
    <t>Pass Rate</t>
  </si>
  <si>
    <t>Open Bugs</t>
  </si>
  <si>
    <t>Jumlah</t>
  </si>
  <si>
    <t>Total</t>
  </si>
  <si>
    <t>Edge Case</t>
  </si>
  <si>
    <t>Response time</t>
  </si>
  <si>
    <t>ms</t>
  </si>
  <si>
    <t>Rata-rata</t>
  </si>
  <si>
    <t>Tertinggi</t>
  </si>
  <si>
    <t>Catatan: Pass Rate = Pass / (Pass + Fail + Blocked), yaitu hanya test case yang sudah dieksekusi. Response time dihitung dari kolom Response Time (ms) yang sudah kamu isi.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</si>
</sst>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1">
    <font>
      <sz val="11.0"/>
      <color theme="1"/>
      <name val="Calibri"/>
      <scheme val="minor"/>
    </font>
    <font>
      <b/>
      <sz val="18.0"/>
      <color rgb="FFFFFFFF"/>
      <name val="Arial"/>
    </font>
    <font/>
    <font>
      <sz val="11.0"/>
      <color theme="1"/>
      <name val="Calibri"/>
    </font>
    <font>
      <i/>
      <sz val="10.0"/>
      <color rgb="FF595959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rgb="FF1F3864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sz val="20.0"/>
      <color rgb="FFFFFFFF"/>
      <name val="Arial"/>
    </font>
    <font>
      <i/>
      <sz val="10.0"/>
      <color rgb="FFFFFFFF"/>
      <name val="Arial"/>
    </font>
    <font>
      <b/>
      <sz val="9.0"/>
      <color rgb="FFFFFFFF"/>
      <name val="Arial"/>
    </font>
    <font>
      <b/>
      <sz val="22.0"/>
      <color rgb="FF1F3864"/>
      <name val="Arial"/>
    </font>
    <font>
      <b/>
      <sz val="22.0"/>
      <color rgb="FF548235"/>
      <name val="Arial"/>
    </font>
    <font>
      <b/>
      <sz val="22.0"/>
      <color rgb="FFC00000"/>
      <name val="Arial"/>
    </font>
    <font>
      <b/>
      <sz val="22.0"/>
      <color rgb="FFBF8F00"/>
      <name val="Arial"/>
    </font>
    <font>
      <b/>
      <sz val="22.0"/>
      <color rgb="FF7F7F7F"/>
      <name val="Arial"/>
    </font>
    <font>
      <b/>
      <sz val="22.0"/>
      <color rgb="FF2E75B6"/>
      <name val="Arial"/>
    </font>
    <font>
      <b/>
      <sz val="22.0"/>
      <color rgb="FF7030A0"/>
      <name val="Arial"/>
    </font>
    <font>
      <i/>
      <sz val="9.0"/>
      <color rgb="FF595959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F5F9FD"/>
        <bgColor rgb="FFF5F9FD"/>
      </patternFill>
    </fill>
    <fill>
      <patternFill patternType="solid">
        <fgColor rgb="FF548235"/>
        <bgColor rgb="FF548235"/>
      </patternFill>
    </fill>
    <fill>
      <patternFill patternType="solid">
        <fgColor rgb="FFC00000"/>
        <bgColor rgb="FFC00000"/>
      </patternFill>
    </fill>
    <fill>
      <patternFill patternType="solid">
        <fgColor rgb="FFBF8F00"/>
        <bgColor rgb="FFBF8F00"/>
      </patternFill>
    </fill>
    <fill>
      <patternFill patternType="solid">
        <fgColor rgb="FF7F7F7F"/>
        <bgColor rgb="FF7F7F7F"/>
      </patternFill>
    </fill>
    <fill>
      <patternFill patternType="solid">
        <fgColor rgb="FF7030A0"/>
        <bgColor rgb="FF7030A0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/>
      <right/>
      <top/>
      <bottom/>
    </border>
    <border>
      <left style="medium">
        <color rgb="FF1F3864"/>
      </left>
      <right style="medium">
        <color rgb="FF1F3864"/>
      </right>
      <bottom style="medium">
        <color rgb="FF1F3864"/>
      </bottom>
    </border>
    <border>
      <left style="medium">
        <color rgb="FF548235"/>
      </left>
      <right style="medium">
        <color rgb="FF548235"/>
      </right>
      <bottom style="medium">
        <color rgb="FF548235"/>
      </bottom>
    </border>
    <border>
      <left style="medium">
        <color rgb="FFC00000"/>
      </left>
      <right style="medium">
        <color rgb="FFC00000"/>
      </right>
      <bottom style="medium">
        <color rgb="FFC00000"/>
      </bottom>
    </border>
    <border>
      <left style="medium">
        <color rgb="FFBF8F00"/>
      </left>
      <right style="medium">
        <color rgb="FFBF8F00"/>
      </right>
      <bottom style="medium">
        <color rgb="FFBF8F00"/>
      </bottom>
    </border>
    <border>
      <left style="medium">
        <color rgb="FF7F7F7F"/>
      </left>
      <right style="medium">
        <color rgb="FF7F7F7F"/>
      </right>
      <bottom style="medium">
        <color rgb="FF7F7F7F"/>
      </bottom>
    </border>
    <border>
      <left style="medium">
        <color rgb="FF2E75B6"/>
      </left>
      <right style="medium">
        <color rgb="FF2E75B6"/>
      </right>
      <bottom style="medium">
        <color rgb="FF2E75B6"/>
      </bottom>
    </border>
    <border>
      <left style="medium">
        <color rgb="FF7030A0"/>
      </left>
      <right style="medium">
        <color rgb="FF7030A0"/>
      </right>
      <bottom style="medium">
        <color rgb="FF7030A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shrinkToFit="0" vertical="top" wrapText="1"/>
    </xf>
    <xf borderId="0" fillId="0" fontId="7" numFmtId="0" xfId="0" applyAlignment="1" applyFont="1">
      <alignment horizontal="right" shrinkToFit="0" vertical="center" wrapText="0"/>
    </xf>
    <xf borderId="4" fillId="5" fontId="6" numFmtId="0" xfId="0" applyAlignment="1" applyBorder="1" applyFill="1" applyFont="1">
      <alignment horizontal="center" shrinkToFit="0" vertical="top" wrapText="1"/>
    </xf>
    <xf borderId="5" fillId="4" fontId="6" numFmtId="0" xfId="0" applyAlignment="1" applyBorder="1" applyFill="1" applyFont="1">
      <alignment shrinkToFit="0" vertical="bottom" wrapText="0"/>
    </xf>
    <xf borderId="4" fillId="5" fontId="6" numFmtId="0" xfId="0" applyAlignment="1" applyBorder="1" applyFill="1" applyFont="1">
      <alignment shrinkToFit="0" vertical="top" wrapText="1"/>
    </xf>
    <xf borderId="6" fillId="0" fontId="2" numFmtId="0" xfId="0" applyBorder="1" applyFont="1"/>
    <xf borderId="4" fillId="4" fontId="6" numFmtId="0" xfId="0" applyAlignment="1" applyBorder="1" applyFill="1" applyFont="1">
      <alignment shrinkToFit="0" vertical="bottom" wrapText="0"/>
    </xf>
    <xf borderId="4" fillId="4" fontId="6" numFmtId="0" xfId="0" applyAlignment="1" applyBorder="1" applyFill="1" applyFont="1">
      <alignment horizontal="left" shrinkToFit="0" vertical="bottom" wrapText="0"/>
    </xf>
    <xf borderId="7" fillId="0" fontId="2" numFmtId="0" xfId="0" applyBorder="1" applyFont="1"/>
    <xf borderId="4" fillId="0" fontId="6" numFmtId="1" xfId="0" applyAlignment="1" applyBorder="1" applyFont="1" applyNumberFormat="1">
      <alignment horizontal="center" shrinkToFit="0" vertical="top" wrapText="1"/>
    </xf>
    <xf borderId="4" fillId="0" fontId="8" numFmtId="0" xfId="0" applyAlignment="1" applyBorder="1" applyFont="1">
      <alignment horizontal="center" readingOrder="0" shrinkToFit="0" vertical="top" wrapText="1"/>
    </xf>
    <xf borderId="4" fillId="5" fontId="6" numFmtId="1" xfId="0" applyAlignment="1" applyBorder="1" applyFill="1" applyFont="1" applyNumberFormat="1">
      <alignment horizontal="center" shrinkToFit="0" vertical="top" wrapText="1"/>
    </xf>
    <xf borderId="4" fillId="5" fontId="9" numFmtId="0" xfId="0" applyAlignment="1" applyBorder="1" applyFill="1" applyFont="1">
      <alignment horizontal="center" readingOrder="0" shrinkToFit="0" vertical="top" wrapText="1"/>
    </xf>
    <xf borderId="1" fillId="2" fontId="10" numFmtId="0" xfId="0" applyAlignment="1" applyBorder="1" applyFill="1" applyFont="1">
      <alignment shrinkToFit="0" vertical="center" wrapText="0"/>
    </xf>
    <xf borderId="1" fillId="3" fontId="11" numFmtId="0" xfId="0" applyAlignment="1" applyBorder="1" applyFill="1" applyFont="1">
      <alignment shrinkToFit="0" vertical="center" wrapText="0"/>
    </xf>
    <xf borderId="8" fillId="2" fontId="12" numFmtId="0" xfId="0" applyAlignment="1" applyBorder="1" applyFill="1" applyFont="1">
      <alignment horizontal="center" shrinkToFit="0" vertical="center" wrapText="1"/>
    </xf>
    <xf borderId="8" fillId="6" fontId="12" numFmtId="0" xfId="0" applyAlignment="1" applyBorder="1" applyFill="1" applyFont="1">
      <alignment horizontal="center" shrinkToFit="0" vertical="center" wrapText="1"/>
    </xf>
    <xf borderId="8" fillId="7" fontId="12" numFmtId="0" xfId="0" applyAlignment="1" applyBorder="1" applyFill="1" applyFont="1">
      <alignment horizontal="center" shrinkToFit="0" vertical="center" wrapText="1"/>
    </xf>
    <xf borderId="8" fillId="8" fontId="12" numFmtId="0" xfId="0" applyAlignment="1" applyBorder="1" applyFill="1" applyFont="1">
      <alignment horizontal="center" shrinkToFit="0" vertical="center" wrapText="1"/>
    </xf>
    <xf borderId="8" fillId="9" fontId="12" numFmtId="0" xfId="0" applyAlignment="1" applyBorder="1" applyFill="1" applyFont="1">
      <alignment horizontal="center" shrinkToFit="0" vertical="center" wrapText="1"/>
    </xf>
    <xf borderId="8" fillId="3" fontId="12" numFmtId="0" xfId="0" applyAlignment="1" applyBorder="1" applyFill="1" applyFont="1">
      <alignment horizontal="center" shrinkToFit="0" vertical="center" wrapText="1"/>
    </xf>
    <xf borderId="8" fillId="10" fontId="12" numFmtId="0" xfId="0" applyAlignment="1" applyBorder="1" applyFill="1" applyFont="1">
      <alignment horizontal="center" shrinkToFit="0" vertical="center" wrapText="1"/>
    </xf>
    <xf borderId="9" fillId="0" fontId="13" numFmtId="1" xfId="0" applyAlignment="1" applyBorder="1" applyFont="1" applyNumberFormat="1">
      <alignment horizontal="center" shrinkToFit="0" vertical="center" wrapText="1"/>
    </xf>
    <xf borderId="10" fillId="0" fontId="14" numFmtId="1" xfId="0" applyAlignment="1" applyBorder="1" applyFont="1" applyNumberFormat="1">
      <alignment horizontal="center" shrinkToFit="0" vertical="center" wrapText="1"/>
    </xf>
    <xf borderId="11" fillId="0" fontId="15" numFmtId="1" xfId="0" applyAlignment="1" applyBorder="1" applyFont="1" applyNumberFormat="1">
      <alignment horizontal="center" shrinkToFit="0" vertical="center" wrapText="1"/>
    </xf>
    <xf borderId="12" fillId="0" fontId="16" numFmtId="1" xfId="0" applyAlignment="1" applyBorder="1" applyFont="1" applyNumberFormat="1">
      <alignment horizontal="center" shrinkToFit="0" vertical="center" wrapText="1"/>
    </xf>
    <xf borderId="13" fillId="0" fontId="17" numFmtId="1" xfId="0" applyAlignment="1" applyBorder="1" applyFont="1" applyNumberFormat="1">
      <alignment horizontal="center" shrinkToFit="0" vertical="center" wrapText="1"/>
    </xf>
    <xf borderId="14" fillId="0" fontId="18" numFmtId="164" xfId="0" applyAlignment="1" applyBorder="1" applyFont="1" applyNumberFormat="1">
      <alignment horizontal="center" shrinkToFit="0" vertical="center" wrapText="1"/>
    </xf>
    <xf borderId="15" fillId="0" fontId="19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4" fillId="0" fontId="6" numFmtId="1" xfId="0" applyAlignment="1" applyBorder="1" applyFont="1" applyNumberFormat="1">
      <alignment horizontal="center" shrinkToFit="0" vertical="bottom" wrapText="0"/>
    </xf>
    <xf borderId="0" fillId="0" fontId="20" numFmtId="0" xfId="0" applyAlignment="1" applyFont="1">
      <alignment shrinkToFit="0" vertical="bottom" wrapText="0"/>
    </xf>
  </cellXfs>
  <cellStyles count="1">
    <cellStyle xfId="0" name="Normal" builtinId="0"/>
  </cellStyles>
  <dxfs count="6"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color rgb="FF7F6000"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color rgb="FF1F3864"/>
        <name val="Arial"/>
      </font>
      <fill>
        <patternFill patternType="solid">
          <fgColor rgb="FFDDEBF7"/>
          <bgColor rgb="FFDDEBF7"/>
        </patternFill>
      </fill>
      <border/>
    </dxf>
    <dxf>
      <font>
        <b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color rgb="FF833C0B"/>
        <name val="Arial"/>
      </font>
      <fill>
        <patternFill patternType="solid">
          <fgColor rgb="FFF8CBAD"/>
          <bgColor rgb="FFF8CBAD"/>
        </patternFill>
      </fill>
      <border/>
    </dxf>
    <dxf>
      <font>
        <b/>
        <color rgb="FF404040"/>
        <name val="Arial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Test Execution Status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Jumlah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548235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C0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BF8F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7F7F7F"/>
              </a:solidFill>
              <a:ln cmpd="sng">
                <a:noFill/>
              </a:ln>
            </c:spPr>
          </c:dPt>
          <c:cat>
            <c:strRef>
              <c:f>Ringkasan!$B$9:$B$12</c:f>
            </c:strRef>
          </c:cat>
          <c:val>
            <c:numRef>
              <c:f>Ringkasan!$C$9:$C$12</c:f>
              <c:numCache/>
            </c:numRef>
          </c:val>
        </c:ser>
        <c:axId val="435508005"/>
        <c:axId val="76107742"/>
      </c:barChart>
      <c:catAx>
        <c:axId val="435508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6107742"/>
      </c:catAx>
      <c:valAx>
        <c:axId val="7610774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5508005"/>
      </c:valAx>
    </c:plotArea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7</xdr:row>
      <xdr:rowOff>0</xdr:rowOff>
    </xdr:from>
    <xdr:ext cx="4210050" cy="28384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raheljuntaq/qa-portfolio/blob/main/api-testing/evidences/TC-API-POSTS-01.png" TargetMode="External"/><Relationship Id="rId2" Type="http://schemas.openxmlformats.org/officeDocument/2006/relationships/hyperlink" Target="https://github.com/raheljuntaq/qa-portfolio/blob/main/api-testing/evidences/TC-API-POSTS-02.png" TargetMode="External"/><Relationship Id="rId3" Type="http://schemas.openxmlformats.org/officeDocument/2006/relationships/hyperlink" Target="https://github.com/raheljuntaq/qa-portfolio/blob/main/api-testing/evidences/TC-API-POSTS-03.png" TargetMode="External"/><Relationship Id="rId4" Type="http://schemas.openxmlformats.org/officeDocument/2006/relationships/hyperlink" Target="https://github.com/raheljuntaq/qa-portfolio/blob/main/api-testing/evidences/TC-API-POSTS-04.png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github.com/raheljuntaq/qa-portfolio/blob/main/api-testing/evidences/TC-API-NEG-01.png" TargetMode="External"/><Relationship Id="rId9" Type="http://schemas.openxmlformats.org/officeDocument/2006/relationships/hyperlink" Target="https://github.com/raheljuntaq/qa-portfolio/blob/main/api-testing/evidences/TC-API-COMMENTS-01.png" TargetMode="External"/><Relationship Id="rId5" Type="http://schemas.openxmlformats.org/officeDocument/2006/relationships/hyperlink" Target="https://github.com/raheljuntaq/qa-portfolio/blob/main/api-testing/evidences/TC-API-POSTS-05.png" TargetMode="External"/><Relationship Id="rId6" Type="http://schemas.openxmlformats.org/officeDocument/2006/relationships/hyperlink" Target="https://github.com/raheljuntaq/qa-portfolio/blob/main/api-testing/evidences/TC-API-POSTS-06.png" TargetMode="External"/><Relationship Id="rId7" Type="http://schemas.openxmlformats.org/officeDocument/2006/relationships/hyperlink" Target="https://github.com/raheljuntaq/qa-portfolio/blob/main/api-testing/evidences/TC-API-POSTS-07.png" TargetMode="External"/><Relationship Id="rId8" Type="http://schemas.openxmlformats.org/officeDocument/2006/relationships/hyperlink" Target="https://github.com/raheljuntaq/qa-portfolio/blob/main/api-testing/evidences/TC-API-USERS-01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9.0"/>
    <col customWidth="1" min="2" max="2" width="13.0"/>
    <col customWidth="1" min="3" max="3" width="30.0"/>
    <col customWidth="1" min="4" max="4" width="11.0"/>
    <col customWidth="1" min="5" max="5" width="10.0"/>
    <col customWidth="1" min="6" max="6" width="18.0"/>
    <col customWidth="1" min="7" max="7" width="30.0"/>
    <col customWidth="1" min="8" max="8" width="34.0"/>
    <col customWidth="1" min="9" max="9" width="38.0"/>
    <col customWidth="1" min="10" max="10" width="42.0"/>
    <col customWidth="1" min="11" max="11" width="34.0"/>
    <col customWidth="1" min="12" max="15" width="11.0"/>
    <col customWidth="1" min="16" max="16" width="23.14"/>
    <col customWidth="1" min="17" max="17" width="24.0"/>
  </cols>
  <sheetData>
    <row r="1" ht="33.7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9" t="s">
        <v>15</v>
      </c>
      <c r="B2" s="11" t="s">
        <v>16</v>
      </c>
      <c r="C2" s="13"/>
      <c r="D2" s="4"/>
      <c r="E2" s="9" t="s">
        <v>17</v>
      </c>
      <c r="F2" s="14" t="s">
        <v>18</v>
      </c>
      <c r="G2" s="4"/>
      <c r="H2" s="9" t="s">
        <v>19</v>
      </c>
      <c r="I2" s="15" t="s">
        <v>20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9" t="s">
        <v>21</v>
      </c>
      <c r="B3" s="11" t="s">
        <v>22</v>
      </c>
      <c r="C3" s="16"/>
      <c r="D3" s="16"/>
      <c r="E3" s="16"/>
      <c r="F3" s="1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6.0" customHeight="1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  <c r="J4" s="6" t="s">
        <v>10</v>
      </c>
      <c r="K4" s="6" t="s">
        <v>11</v>
      </c>
      <c r="L4" s="6" t="s">
        <v>32</v>
      </c>
      <c r="M4" s="6" t="s">
        <v>33</v>
      </c>
      <c r="N4" s="6" t="s">
        <v>12</v>
      </c>
      <c r="O4" s="6" t="s">
        <v>3</v>
      </c>
      <c r="P4" s="6" t="s">
        <v>34</v>
      </c>
      <c r="Q4" s="6" t="s">
        <v>35</v>
      </c>
      <c r="R4" s="4"/>
      <c r="S4" s="4"/>
      <c r="T4" s="4"/>
      <c r="U4" s="4"/>
      <c r="V4" s="4"/>
      <c r="W4" s="4"/>
      <c r="X4" s="4"/>
      <c r="Y4" s="4"/>
      <c r="Z4" s="4"/>
    </row>
    <row r="5" ht="68.25" customHeight="1">
      <c r="A5" s="7" t="s">
        <v>36</v>
      </c>
      <c r="B5" s="8" t="s">
        <v>37</v>
      </c>
      <c r="C5" s="8" t="s">
        <v>38</v>
      </c>
      <c r="D5" s="7" t="s">
        <v>39</v>
      </c>
      <c r="E5" s="7" t="s">
        <v>40</v>
      </c>
      <c r="F5" s="8" t="s">
        <v>41</v>
      </c>
      <c r="G5" s="8" t="s">
        <v>42</v>
      </c>
      <c r="H5" s="8" t="s">
        <v>43</v>
      </c>
      <c r="I5" s="8" t="s">
        <v>44</v>
      </c>
      <c r="J5" s="8" t="s">
        <v>45</v>
      </c>
      <c r="K5" s="8" t="s">
        <v>46</v>
      </c>
      <c r="L5" s="17">
        <v>200.0</v>
      </c>
      <c r="M5" s="17">
        <v>41.0</v>
      </c>
      <c r="N5" s="7" t="s">
        <v>47</v>
      </c>
      <c r="O5" s="7"/>
      <c r="P5" s="18" t="s">
        <v>36</v>
      </c>
      <c r="Q5" s="8"/>
      <c r="R5" s="4"/>
      <c r="S5" s="4"/>
      <c r="T5" s="4"/>
      <c r="U5" s="4"/>
      <c r="V5" s="4"/>
      <c r="W5" s="4"/>
      <c r="X5" s="4"/>
      <c r="Y5" s="4"/>
      <c r="Z5" s="4"/>
    </row>
    <row r="6" ht="68.25" customHeight="1">
      <c r="A6" s="10" t="s">
        <v>48</v>
      </c>
      <c r="B6" s="12" t="s">
        <v>37</v>
      </c>
      <c r="C6" s="12" t="s">
        <v>49</v>
      </c>
      <c r="D6" s="10" t="s">
        <v>39</v>
      </c>
      <c r="E6" s="10" t="s">
        <v>40</v>
      </c>
      <c r="F6" s="12" t="s">
        <v>50</v>
      </c>
      <c r="G6" s="12" t="s">
        <v>51</v>
      </c>
      <c r="H6" s="12" t="s">
        <v>43</v>
      </c>
      <c r="I6" s="12" t="s">
        <v>52</v>
      </c>
      <c r="J6" s="12" t="s">
        <v>53</v>
      </c>
      <c r="K6" s="12" t="s">
        <v>54</v>
      </c>
      <c r="L6" s="17">
        <v>200.0</v>
      </c>
      <c r="M6" s="19">
        <v>1730.0</v>
      </c>
      <c r="N6" s="10" t="s">
        <v>47</v>
      </c>
      <c r="O6" s="10"/>
      <c r="P6" s="18" t="s">
        <v>48</v>
      </c>
      <c r="Q6" s="12" t="s">
        <v>55</v>
      </c>
      <c r="R6" s="4"/>
      <c r="S6" s="4"/>
      <c r="T6" s="4"/>
      <c r="U6" s="4"/>
      <c r="V6" s="4"/>
      <c r="W6" s="4"/>
      <c r="X6" s="4"/>
      <c r="Y6" s="4"/>
      <c r="Z6" s="4"/>
    </row>
    <row r="7" ht="68.25" customHeight="1">
      <c r="A7" s="7" t="s">
        <v>56</v>
      </c>
      <c r="B7" s="8" t="s">
        <v>37</v>
      </c>
      <c r="C7" s="8" t="s">
        <v>57</v>
      </c>
      <c r="D7" s="7" t="s">
        <v>39</v>
      </c>
      <c r="E7" s="7" t="s">
        <v>40</v>
      </c>
      <c r="F7" s="8" t="s">
        <v>58</v>
      </c>
      <c r="G7" s="8" t="s">
        <v>42</v>
      </c>
      <c r="H7" s="8" t="s">
        <v>59</v>
      </c>
      <c r="I7" s="8" t="s">
        <v>60</v>
      </c>
      <c r="J7" s="8" t="s">
        <v>61</v>
      </c>
      <c r="K7" s="8" t="s">
        <v>62</v>
      </c>
      <c r="L7" s="17">
        <v>200.0</v>
      </c>
      <c r="M7" s="17">
        <v>291.0</v>
      </c>
      <c r="N7" s="7" t="s">
        <v>47</v>
      </c>
      <c r="O7" s="7"/>
      <c r="P7" s="18" t="s">
        <v>56</v>
      </c>
      <c r="Q7" s="8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63</v>
      </c>
      <c r="B8" s="12" t="s">
        <v>37</v>
      </c>
      <c r="C8" s="12" t="s">
        <v>64</v>
      </c>
      <c r="D8" s="10" t="s">
        <v>39</v>
      </c>
      <c r="E8" s="10" t="s">
        <v>65</v>
      </c>
      <c r="F8" s="12" t="s">
        <v>41</v>
      </c>
      <c r="G8" s="12" t="s">
        <v>42</v>
      </c>
      <c r="H8" s="12" t="s">
        <v>66</v>
      </c>
      <c r="I8" s="12" t="s">
        <v>67</v>
      </c>
      <c r="J8" s="12" t="s">
        <v>68</v>
      </c>
      <c r="K8" s="12" t="s">
        <v>69</v>
      </c>
      <c r="L8" s="17">
        <v>201.0</v>
      </c>
      <c r="M8" s="19">
        <v>322.0</v>
      </c>
      <c r="N8" s="10" t="s">
        <v>47</v>
      </c>
      <c r="O8" s="10"/>
      <c r="P8" s="18" t="s">
        <v>63</v>
      </c>
      <c r="Q8" s="12"/>
      <c r="R8" s="4"/>
      <c r="S8" s="4"/>
      <c r="T8" s="4"/>
      <c r="U8" s="4"/>
      <c r="V8" s="4"/>
      <c r="W8" s="4"/>
      <c r="X8" s="4"/>
      <c r="Y8" s="4"/>
      <c r="Z8" s="4"/>
    </row>
    <row r="9" ht="90.75" customHeight="1">
      <c r="A9" s="7" t="s">
        <v>70</v>
      </c>
      <c r="B9" s="8" t="s">
        <v>37</v>
      </c>
      <c r="C9" s="8" t="s">
        <v>71</v>
      </c>
      <c r="D9" s="7" t="s">
        <v>39</v>
      </c>
      <c r="E9" s="7" t="s">
        <v>72</v>
      </c>
      <c r="F9" s="8" t="s">
        <v>50</v>
      </c>
      <c r="G9" s="8" t="s">
        <v>51</v>
      </c>
      <c r="H9" s="8" t="s">
        <v>73</v>
      </c>
      <c r="I9" s="8" t="s">
        <v>74</v>
      </c>
      <c r="J9" s="8" t="s">
        <v>75</v>
      </c>
      <c r="K9" s="8" t="s">
        <v>76</v>
      </c>
      <c r="L9" s="17">
        <v>200.0</v>
      </c>
      <c r="M9" s="17">
        <v>636.0</v>
      </c>
      <c r="N9" s="7" t="s">
        <v>47</v>
      </c>
      <c r="O9" s="7"/>
      <c r="P9" s="18" t="s">
        <v>70</v>
      </c>
      <c r="Q9" s="8"/>
      <c r="R9" s="4"/>
      <c r="S9" s="4"/>
      <c r="T9" s="4"/>
      <c r="U9" s="4"/>
      <c r="V9" s="4"/>
      <c r="W9" s="4"/>
      <c r="X9" s="4"/>
      <c r="Y9" s="4"/>
      <c r="Z9" s="4"/>
    </row>
    <row r="10" ht="68.25" customHeight="1">
      <c r="A10" s="10" t="s">
        <v>77</v>
      </c>
      <c r="B10" s="12" t="s">
        <v>37</v>
      </c>
      <c r="C10" s="12" t="s">
        <v>78</v>
      </c>
      <c r="D10" s="10" t="s">
        <v>39</v>
      </c>
      <c r="E10" s="10" t="s">
        <v>79</v>
      </c>
      <c r="F10" s="12" t="s">
        <v>50</v>
      </c>
      <c r="G10" s="12" t="s">
        <v>51</v>
      </c>
      <c r="H10" s="12" t="s">
        <v>80</v>
      </c>
      <c r="I10" s="12" t="s">
        <v>81</v>
      </c>
      <c r="J10" s="12" t="s">
        <v>82</v>
      </c>
      <c r="K10" s="12" t="s">
        <v>83</v>
      </c>
      <c r="L10" s="17">
        <v>200.0</v>
      </c>
      <c r="M10" s="19">
        <v>314.0</v>
      </c>
      <c r="N10" s="10" t="s">
        <v>47</v>
      </c>
      <c r="O10" s="10"/>
      <c r="P10" s="18" t="s">
        <v>77</v>
      </c>
      <c r="Q10" s="12"/>
      <c r="R10" s="4"/>
      <c r="S10" s="4"/>
      <c r="T10" s="4"/>
      <c r="U10" s="4"/>
      <c r="V10" s="4"/>
      <c r="W10" s="4"/>
      <c r="X10" s="4"/>
      <c r="Y10" s="4"/>
      <c r="Z10" s="4"/>
    </row>
    <row r="11" ht="57.0" customHeight="1">
      <c r="A11" s="7" t="s">
        <v>84</v>
      </c>
      <c r="B11" s="8" t="s">
        <v>37</v>
      </c>
      <c r="C11" s="8" t="s">
        <v>85</v>
      </c>
      <c r="D11" s="7" t="s">
        <v>39</v>
      </c>
      <c r="E11" s="7" t="s">
        <v>86</v>
      </c>
      <c r="F11" s="8" t="s">
        <v>50</v>
      </c>
      <c r="G11" s="8" t="s">
        <v>51</v>
      </c>
      <c r="H11" s="8" t="s">
        <v>43</v>
      </c>
      <c r="I11" s="8" t="s">
        <v>87</v>
      </c>
      <c r="J11" s="8" t="s">
        <v>88</v>
      </c>
      <c r="K11" s="8" t="s">
        <v>89</v>
      </c>
      <c r="L11" s="17">
        <v>200.0</v>
      </c>
      <c r="M11" s="17">
        <v>337.0</v>
      </c>
      <c r="N11" s="7" t="s">
        <v>47</v>
      </c>
      <c r="O11" s="7"/>
      <c r="P11" s="18" t="s">
        <v>84</v>
      </c>
      <c r="Q11" s="8"/>
      <c r="R11" s="4"/>
      <c r="S11" s="4"/>
      <c r="T11" s="4"/>
      <c r="U11" s="4"/>
      <c r="V11" s="4"/>
      <c r="W11" s="4"/>
      <c r="X11" s="4"/>
      <c r="Y11" s="4"/>
      <c r="Z11" s="4"/>
    </row>
    <row r="12" ht="90.75" customHeight="1">
      <c r="A12" s="10" t="s">
        <v>90</v>
      </c>
      <c r="B12" s="12" t="s">
        <v>91</v>
      </c>
      <c r="C12" s="12" t="s">
        <v>92</v>
      </c>
      <c r="D12" s="10" t="s">
        <v>39</v>
      </c>
      <c r="E12" s="10" t="s">
        <v>40</v>
      </c>
      <c r="F12" s="12" t="s">
        <v>93</v>
      </c>
      <c r="G12" s="12" t="s">
        <v>94</v>
      </c>
      <c r="H12" s="12" t="s">
        <v>43</v>
      </c>
      <c r="I12" s="12" t="s">
        <v>95</v>
      </c>
      <c r="J12" s="12" t="s">
        <v>96</v>
      </c>
      <c r="K12" s="12" t="s">
        <v>97</v>
      </c>
      <c r="L12" s="17">
        <v>200.0</v>
      </c>
      <c r="M12" s="19">
        <v>502.0</v>
      </c>
      <c r="N12" s="10" t="s">
        <v>47</v>
      </c>
      <c r="O12" s="10"/>
      <c r="P12" s="20" t="s">
        <v>90</v>
      </c>
      <c r="Q12" s="12"/>
      <c r="R12" s="4"/>
      <c r="S12" s="4"/>
      <c r="T12" s="4"/>
      <c r="U12" s="4"/>
      <c r="V12" s="4"/>
      <c r="W12" s="4"/>
      <c r="X12" s="4"/>
      <c r="Y12" s="4"/>
      <c r="Z12" s="4"/>
    </row>
    <row r="13" ht="68.25" customHeight="1">
      <c r="A13" s="7" t="s">
        <v>98</v>
      </c>
      <c r="B13" s="8" t="s">
        <v>99</v>
      </c>
      <c r="C13" s="8" t="s">
        <v>100</v>
      </c>
      <c r="D13" s="7" t="s">
        <v>39</v>
      </c>
      <c r="E13" s="7" t="s">
        <v>40</v>
      </c>
      <c r="F13" s="8" t="s">
        <v>101</v>
      </c>
      <c r="G13" s="8" t="s">
        <v>51</v>
      </c>
      <c r="H13" s="8" t="s">
        <v>43</v>
      </c>
      <c r="I13" s="8" t="s">
        <v>102</v>
      </c>
      <c r="J13" s="8" t="s">
        <v>103</v>
      </c>
      <c r="K13" s="8" t="s">
        <v>104</v>
      </c>
      <c r="L13" s="17">
        <v>200.0</v>
      </c>
      <c r="M13" s="17">
        <v>253.0</v>
      </c>
      <c r="N13" s="7" t="s">
        <v>47</v>
      </c>
      <c r="O13" s="7"/>
      <c r="P13" s="18" t="s">
        <v>98</v>
      </c>
      <c r="Q13" s="8"/>
      <c r="R13" s="4"/>
      <c r="S13" s="4"/>
      <c r="T13" s="4"/>
      <c r="U13" s="4"/>
      <c r="V13" s="4"/>
      <c r="W13" s="4"/>
      <c r="X13" s="4"/>
      <c r="Y13" s="4"/>
      <c r="Z13" s="4"/>
    </row>
    <row r="14" ht="57.0" customHeight="1">
      <c r="A14" s="10" t="s">
        <v>105</v>
      </c>
      <c r="B14" s="12" t="s">
        <v>106</v>
      </c>
      <c r="C14" s="12" t="s">
        <v>107</v>
      </c>
      <c r="D14" s="10" t="s">
        <v>106</v>
      </c>
      <c r="E14" s="10" t="s">
        <v>40</v>
      </c>
      <c r="F14" s="12" t="s">
        <v>109</v>
      </c>
      <c r="G14" s="12" t="s">
        <v>110</v>
      </c>
      <c r="H14" s="12" t="s">
        <v>43</v>
      </c>
      <c r="I14" s="12" t="s">
        <v>111</v>
      </c>
      <c r="J14" s="12" t="s">
        <v>112</v>
      </c>
      <c r="K14" s="12" t="s">
        <v>113</v>
      </c>
      <c r="L14" s="17">
        <v>404.0</v>
      </c>
      <c r="M14" s="19">
        <v>352.0</v>
      </c>
      <c r="N14" s="10" t="s">
        <v>47</v>
      </c>
      <c r="O14" s="10"/>
      <c r="P14" s="20" t="s">
        <v>105</v>
      </c>
      <c r="Q14" s="12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7"/>
      <c r="B15" s="8"/>
      <c r="C15" s="8"/>
      <c r="D15" s="7"/>
      <c r="E15" s="7"/>
      <c r="F15" s="8"/>
      <c r="G15" s="8"/>
      <c r="H15" s="8"/>
      <c r="I15" s="8"/>
      <c r="J15" s="8"/>
      <c r="K15" s="8"/>
      <c r="L15" s="7"/>
      <c r="M15" s="7"/>
      <c r="N15" s="7"/>
      <c r="O15" s="7"/>
      <c r="P15" s="8"/>
      <c r="Q15" s="8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10"/>
      <c r="B16" s="12"/>
      <c r="C16" s="12"/>
      <c r="D16" s="10"/>
      <c r="E16" s="10"/>
      <c r="F16" s="12"/>
      <c r="G16" s="12"/>
      <c r="H16" s="12"/>
      <c r="I16" s="12"/>
      <c r="J16" s="12"/>
      <c r="K16" s="12"/>
      <c r="L16" s="10"/>
      <c r="M16" s="10"/>
      <c r="N16" s="10"/>
      <c r="O16" s="10"/>
      <c r="P16" s="12"/>
      <c r="Q16" s="12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7"/>
      <c r="B17" s="8"/>
      <c r="C17" s="8"/>
      <c r="D17" s="7"/>
      <c r="E17" s="7"/>
      <c r="F17" s="8"/>
      <c r="G17" s="8"/>
      <c r="H17" s="8"/>
      <c r="I17" s="8"/>
      <c r="J17" s="8"/>
      <c r="K17" s="8"/>
      <c r="L17" s="7"/>
      <c r="M17" s="7"/>
      <c r="N17" s="7"/>
      <c r="O17" s="7"/>
      <c r="P17" s="8"/>
      <c r="Q17" s="8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10"/>
      <c r="B18" s="12"/>
      <c r="C18" s="12"/>
      <c r="D18" s="10"/>
      <c r="E18" s="10"/>
      <c r="F18" s="12"/>
      <c r="G18" s="12"/>
      <c r="H18" s="12"/>
      <c r="I18" s="12"/>
      <c r="J18" s="12"/>
      <c r="K18" s="12"/>
      <c r="L18" s="10"/>
      <c r="M18" s="10"/>
      <c r="N18" s="10"/>
      <c r="O18" s="10"/>
      <c r="P18" s="12"/>
      <c r="Q18" s="12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7"/>
      <c r="B19" s="8"/>
      <c r="C19" s="8"/>
      <c r="D19" s="7"/>
      <c r="E19" s="7"/>
      <c r="F19" s="8"/>
      <c r="G19" s="8"/>
      <c r="H19" s="8"/>
      <c r="I19" s="8"/>
      <c r="J19" s="8"/>
      <c r="K19" s="8"/>
      <c r="L19" s="7"/>
      <c r="M19" s="7"/>
      <c r="N19" s="7"/>
      <c r="O19" s="7"/>
      <c r="P19" s="8"/>
      <c r="Q19" s="8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10"/>
      <c r="B20" s="12"/>
      <c r="C20" s="12"/>
      <c r="D20" s="10"/>
      <c r="E20" s="10"/>
      <c r="F20" s="12"/>
      <c r="G20" s="12"/>
      <c r="H20" s="12"/>
      <c r="I20" s="12"/>
      <c r="J20" s="12"/>
      <c r="K20" s="12"/>
      <c r="L20" s="10"/>
      <c r="M20" s="10"/>
      <c r="N20" s="10"/>
      <c r="O20" s="10"/>
      <c r="P20" s="12"/>
      <c r="Q20" s="12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7"/>
      <c r="B21" s="8"/>
      <c r="C21" s="8"/>
      <c r="D21" s="7"/>
      <c r="E21" s="7"/>
      <c r="F21" s="8"/>
      <c r="G21" s="8"/>
      <c r="H21" s="8"/>
      <c r="I21" s="8"/>
      <c r="J21" s="8"/>
      <c r="K21" s="8"/>
      <c r="L21" s="7"/>
      <c r="M21" s="7"/>
      <c r="N21" s="7"/>
      <c r="O21" s="7"/>
      <c r="P21" s="8"/>
      <c r="Q21" s="8"/>
      <c r="R21" s="4"/>
      <c r="S21" s="4"/>
      <c r="T21" s="4"/>
      <c r="U21" s="4"/>
      <c r="V21" s="4"/>
      <c r="W21" s="4"/>
      <c r="X21" s="4"/>
      <c r="Y21" s="4"/>
      <c r="Z21" s="4"/>
    </row>
    <row r="22" ht="30.0" customHeight="1">
      <c r="A22" s="10"/>
      <c r="B22" s="12"/>
      <c r="C22" s="12"/>
      <c r="D22" s="10"/>
      <c r="E22" s="10"/>
      <c r="F22" s="12"/>
      <c r="G22" s="12"/>
      <c r="H22" s="12"/>
      <c r="I22" s="12"/>
      <c r="J22" s="12"/>
      <c r="K22" s="12"/>
      <c r="L22" s="10"/>
      <c r="M22" s="10"/>
      <c r="N22" s="10"/>
      <c r="O22" s="10"/>
      <c r="P22" s="12"/>
      <c r="Q22" s="12"/>
      <c r="R22" s="4"/>
      <c r="S22" s="4"/>
      <c r="T22" s="4"/>
      <c r="U22" s="4"/>
      <c r="V22" s="4"/>
      <c r="W22" s="4"/>
      <c r="X22" s="4"/>
      <c r="Y22" s="4"/>
      <c r="Z22" s="4"/>
    </row>
    <row r="23" ht="30.0" customHeight="1">
      <c r="A23" s="7"/>
      <c r="B23" s="8"/>
      <c r="C23" s="8"/>
      <c r="D23" s="7"/>
      <c r="E23" s="7"/>
      <c r="F23" s="8"/>
      <c r="G23" s="8"/>
      <c r="H23" s="8"/>
      <c r="I23" s="8"/>
      <c r="J23" s="8"/>
      <c r="K23" s="8"/>
      <c r="L23" s="7"/>
      <c r="M23" s="7"/>
      <c r="N23" s="7"/>
      <c r="O23" s="7"/>
      <c r="P23" s="8"/>
      <c r="Q23" s="8"/>
      <c r="R23" s="4"/>
      <c r="S23" s="4"/>
      <c r="T23" s="4"/>
      <c r="U23" s="4"/>
      <c r="V23" s="4"/>
      <c r="W23" s="4"/>
      <c r="X23" s="4"/>
      <c r="Y23" s="4"/>
      <c r="Z23" s="4"/>
    </row>
    <row r="24" ht="30.0" customHeight="1">
      <c r="A24" s="10"/>
      <c r="B24" s="12"/>
      <c r="C24" s="12"/>
      <c r="D24" s="10"/>
      <c r="E24" s="10"/>
      <c r="F24" s="12"/>
      <c r="G24" s="12"/>
      <c r="H24" s="12"/>
      <c r="I24" s="12"/>
      <c r="J24" s="12"/>
      <c r="K24" s="12"/>
      <c r="L24" s="10"/>
      <c r="M24" s="10"/>
      <c r="N24" s="10"/>
      <c r="O24" s="10"/>
      <c r="P24" s="12"/>
      <c r="Q24" s="12"/>
      <c r="R24" s="4"/>
      <c r="S24" s="4"/>
      <c r="T24" s="4"/>
      <c r="U24" s="4"/>
      <c r="V24" s="4"/>
      <c r="W24" s="4"/>
      <c r="X24" s="4"/>
      <c r="Y24" s="4"/>
      <c r="Z24" s="4"/>
    </row>
    <row r="25" ht="30.0" customHeight="1">
      <c r="A25" s="7"/>
      <c r="B25" s="8"/>
      <c r="C25" s="8"/>
      <c r="D25" s="7"/>
      <c r="E25" s="7"/>
      <c r="F25" s="8"/>
      <c r="G25" s="8"/>
      <c r="H25" s="8"/>
      <c r="I25" s="8"/>
      <c r="J25" s="8"/>
      <c r="K25" s="8"/>
      <c r="L25" s="7"/>
      <c r="M25" s="7"/>
      <c r="N25" s="7"/>
      <c r="O25" s="7"/>
      <c r="P25" s="8"/>
      <c r="Q25" s="8"/>
      <c r="R25" s="4"/>
      <c r="S25" s="4"/>
      <c r="T25" s="4"/>
      <c r="U25" s="4"/>
      <c r="V25" s="4"/>
      <c r="W25" s="4"/>
      <c r="X25" s="4"/>
      <c r="Y25" s="4"/>
      <c r="Z25" s="4"/>
    </row>
    <row r="26" ht="30.0" customHeight="1">
      <c r="A26" s="10"/>
      <c r="B26" s="12"/>
      <c r="C26" s="12"/>
      <c r="D26" s="10"/>
      <c r="E26" s="10"/>
      <c r="F26" s="12"/>
      <c r="G26" s="12"/>
      <c r="H26" s="12"/>
      <c r="I26" s="12"/>
      <c r="J26" s="12"/>
      <c r="K26" s="12"/>
      <c r="L26" s="10"/>
      <c r="M26" s="10"/>
      <c r="N26" s="10"/>
      <c r="O26" s="10"/>
      <c r="P26" s="12"/>
      <c r="Q26" s="12"/>
      <c r="R26" s="4"/>
      <c r="S26" s="4"/>
      <c r="T26" s="4"/>
      <c r="U26" s="4"/>
      <c r="V26" s="4"/>
      <c r="W26" s="4"/>
      <c r="X26" s="4"/>
      <c r="Y26" s="4"/>
      <c r="Z26" s="4"/>
    </row>
    <row r="27" ht="30.0" customHeight="1">
      <c r="A27" s="7"/>
      <c r="B27" s="8"/>
      <c r="C27" s="8"/>
      <c r="D27" s="7"/>
      <c r="E27" s="7"/>
      <c r="F27" s="8"/>
      <c r="G27" s="8"/>
      <c r="H27" s="8"/>
      <c r="I27" s="8"/>
      <c r="J27" s="8"/>
      <c r="K27" s="8"/>
      <c r="L27" s="7"/>
      <c r="M27" s="7"/>
      <c r="N27" s="7"/>
      <c r="O27" s="7"/>
      <c r="P27" s="8"/>
      <c r="Q27" s="8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10"/>
      <c r="B28" s="12"/>
      <c r="C28" s="12"/>
      <c r="D28" s="10"/>
      <c r="E28" s="10"/>
      <c r="F28" s="12"/>
      <c r="G28" s="12"/>
      <c r="H28" s="12"/>
      <c r="I28" s="12"/>
      <c r="J28" s="12"/>
      <c r="K28" s="12"/>
      <c r="L28" s="10"/>
      <c r="M28" s="10"/>
      <c r="N28" s="10"/>
      <c r="O28" s="10"/>
      <c r="P28" s="12"/>
      <c r="Q28" s="12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7"/>
      <c r="B29" s="8"/>
      <c r="C29" s="8"/>
      <c r="D29" s="7"/>
      <c r="E29" s="7"/>
      <c r="F29" s="8"/>
      <c r="G29" s="8"/>
      <c r="H29" s="8"/>
      <c r="I29" s="8"/>
      <c r="J29" s="8"/>
      <c r="K29" s="8"/>
      <c r="L29" s="7"/>
      <c r="M29" s="7"/>
      <c r="N29" s="7"/>
      <c r="O29" s="7"/>
      <c r="P29" s="8"/>
      <c r="Q29" s="8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10"/>
      <c r="B30" s="12"/>
      <c r="C30" s="12"/>
      <c r="D30" s="10"/>
      <c r="E30" s="10"/>
      <c r="F30" s="12"/>
      <c r="G30" s="12"/>
      <c r="H30" s="12"/>
      <c r="I30" s="12"/>
      <c r="J30" s="12"/>
      <c r="K30" s="12"/>
      <c r="L30" s="10"/>
      <c r="M30" s="10"/>
      <c r="N30" s="10"/>
      <c r="O30" s="10"/>
      <c r="P30" s="12"/>
      <c r="Q30" s="12"/>
      <c r="R30" s="4"/>
      <c r="S30" s="4"/>
      <c r="T30" s="4"/>
      <c r="U30" s="4"/>
      <c r="V30" s="4"/>
      <c r="W30" s="4"/>
      <c r="X30" s="4"/>
      <c r="Y30" s="4"/>
      <c r="Z30" s="4"/>
    </row>
    <row r="31" ht="30.0" customHeight="1">
      <c r="A31" s="7"/>
      <c r="B31" s="8"/>
      <c r="C31" s="8"/>
      <c r="D31" s="7"/>
      <c r="E31" s="7"/>
      <c r="F31" s="8"/>
      <c r="G31" s="8"/>
      <c r="H31" s="8"/>
      <c r="I31" s="8"/>
      <c r="J31" s="8"/>
      <c r="K31" s="8"/>
      <c r="L31" s="7"/>
      <c r="M31" s="7"/>
      <c r="N31" s="7"/>
      <c r="O31" s="7"/>
      <c r="P31" s="8"/>
      <c r="Q31" s="8"/>
      <c r="R31" s="4"/>
      <c r="S31" s="4"/>
      <c r="T31" s="4"/>
      <c r="U31" s="4"/>
      <c r="V31" s="4"/>
      <c r="W31" s="4"/>
      <c r="X31" s="4"/>
      <c r="Y31" s="4"/>
      <c r="Z31" s="4"/>
    </row>
    <row r="32" ht="30.0" customHeight="1">
      <c r="A32" s="10"/>
      <c r="B32" s="12"/>
      <c r="C32" s="12"/>
      <c r="D32" s="10"/>
      <c r="E32" s="10"/>
      <c r="F32" s="12"/>
      <c r="G32" s="12"/>
      <c r="H32" s="12"/>
      <c r="I32" s="12"/>
      <c r="J32" s="12"/>
      <c r="K32" s="12"/>
      <c r="L32" s="10"/>
      <c r="M32" s="10"/>
      <c r="N32" s="10"/>
      <c r="O32" s="10"/>
      <c r="P32" s="12"/>
      <c r="Q32" s="12"/>
      <c r="R32" s="4"/>
      <c r="S32" s="4"/>
      <c r="T32" s="4"/>
      <c r="U32" s="4"/>
      <c r="V32" s="4"/>
      <c r="W32" s="4"/>
      <c r="X32" s="4"/>
      <c r="Y32" s="4"/>
      <c r="Z32" s="4"/>
    </row>
    <row r="33" ht="30.0" customHeight="1">
      <c r="A33" s="7"/>
      <c r="B33" s="8"/>
      <c r="C33" s="8"/>
      <c r="D33" s="7"/>
      <c r="E33" s="7"/>
      <c r="F33" s="8"/>
      <c r="G33" s="8"/>
      <c r="H33" s="8"/>
      <c r="I33" s="8"/>
      <c r="J33" s="8"/>
      <c r="K33" s="8"/>
      <c r="L33" s="7"/>
      <c r="M33" s="7"/>
      <c r="N33" s="7"/>
      <c r="O33" s="7"/>
      <c r="P33" s="8"/>
      <c r="Q33" s="8"/>
      <c r="R33" s="4"/>
      <c r="S33" s="4"/>
      <c r="T33" s="4"/>
      <c r="U33" s="4"/>
      <c r="V33" s="4"/>
      <c r="W33" s="4"/>
      <c r="X33" s="4"/>
      <c r="Y33" s="4"/>
      <c r="Z33" s="4"/>
    </row>
    <row r="34" ht="30.0" customHeight="1">
      <c r="A34" s="10"/>
      <c r="B34" s="12"/>
      <c r="C34" s="12"/>
      <c r="D34" s="10"/>
      <c r="E34" s="10"/>
      <c r="F34" s="12"/>
      <c r="G34" s="12"/>
      <c r="H34" s="12"/>
      <c r="I34" s="12"/>
      <c r="J34" s="12"/>
      <c r="K34" s="12"/>
      <c r="L34" s="10"/>
      <c r="M34" s="10"/>
      <c r="N34" s="10"/>
      <c r="O34" s="10"/>
      <c r="P34" s="12"/>
      <c r="Q34" s="12"/>
      <c r="R34" s="4"/>
      <c r="S34" s="4"/>
      <c r="T34" s="4"/>
      <c r="U34" s="4"/>
      <c r="V34" s="4"/>
      <c r="W34" s="4"/>
      <c r="X34" s="4"/>
      <c r="Y34" s="4"/>
      <c r="Z34" s="4"/>
    </row>
    <row r="35" ht="30.0" customHeight="1">
      <c r="A35" s="7"/>
      <c r="B35" s="8"/>
      <c r="C35" s="8"/>
      <c r="D35" s="7"/>
      <c r="E35" s="7"/>
      <c r="F35" s="8"/>
      <c r="G35" s="8"/>
      <c r="H35" s="8"/>
      <c r="I35" s="8"/>
      <c r="J35" s="8"/>
      <c r="K35" s="8"/>
      <c r="L35" s="7"/>
      <c r="M35" s="7"/>
      <c r="N35" s="7"/>
      <c r="O35" s="7"/>
      <c r="P35" s="8"/>
      <c r="Q35" s="8"/>
      <c r="R35" s="4"/>
      <c r="S35" s="4"/>
      <c r="T35" s="4"/>
      <c r="U35" s="4"/>
      <c r="V35" s="4"/>
      <c r="W35" s="4"/>
      <c r="X35" s="4"/>
      <c r="Y35" s="4"/>
      <c r="Z35" s="4"/>
    </row>
    <row r="36" ht="30.0" customHeight="1">
      <c r="A36" s="10"/>
      <c r="B36" s="12"/>
      <c r="C36" s="12"/>
      <c r="D36" s="10"/>
      <c r="E36" s="10"/>
      <c r="F36" s="12"/>
      <c r="G36" s="12"/>
      <c r="H36" s="12"/>
      <c r="I36" s="12"/>
      <c r="J36" s="12"/>
      <c r="K36" s="12"/>
      <c r="L36" s="10"/>
      <c r="M36" s="10"/>
      <c r="N36" s="10"/>
      <c r="O36" s="10"/>
      <c r="P36" s="12"/>
      <c r="Q36" s="12"/>
      <c r="R36" s="4"/>
      <c r="S36" s="4"/>
      <c r="T36" s="4"/>
      <c r="U36" s="4"/>
      <c r="V36" s="4"/>
      <c r="W36" s="4"/>
      <c r="X36" s="4"/>
      <c r="Y36" s="4"/>
      <c r="Z36" s="4"/>
    </row>
    <row r="37" ht="30.0" customHeight="1">
      <c r="A37" s="7"/>
      <c r="B37" s="8"/>
      <c r="C37" s="8"/>
      <c r="D37" s="7"/>
      <c r="E37" s="7"/>
      <c r="F37" s="8"/>
      <c r="G37" s="8"/>
      <c r="H37" s="8"/>
      <c r="I37" s="8"/>
      <c r="J37" s="8"/>
      <c r="K37" s="8"/>
      <c r="L37" s="7"/>
      <c r="M37" s="7"/>
      <c r="N37" s="7"/>
      <c r="O37" s="7"/>
      <c r="P37" s="8"/>
      <c r="Q37" s="8"/>
      <c r="R37" s="4"/>
      <c r="S37" s="4"/>
      <c r="T37" s="4"/>
      <c r="U37" s="4"/>
      <c r="V37" s="4"/>
      <c r="W37" s="4"/>
      <c r="X37" s="4"/>
      <c r="Y37" s="4"/>
      <c r="Z37" s="4"/>
    </row>
    <row r="38" ht="30.0" customHeight="1">
      <c r="A38" s="10"/>
      <c r="B38" s="12"/>
      <c r="C38" s="12"/>
      <c r="D38" s="10"/>
      <c r="E38" s="10"/>
      <c r="F38" s="12"/>
      <c r="G38" s="12"/>
      <c r="H38" s="12"/>
      <c r="I38" s="12"/>
      <c r="J38" s="12"/>
      <c r="K38" s="12"/>
      <c r="L38" s="10"/>
      <c r="M38" s="10"/>
      <c r="N38" s="10"/>
      <c r="O38" s="10"/>
      <c r="P38" s="12"/>
      <c r="Q38" s="12"/>
      <c r="R38" s="4"/>
      <c r="S38" s="4"/>
      <c r="T38" s="4"/>
      <c r="U38" s="4"/>
      <c r="V38" s="4"/>
      <c r="W38" s="4"/>
      <c r="X38" s="4"/>
      <c r="Y38" s="4"/>
      <c r="Z38" s="4"/>
    </row>
    <row r="39" ht="30.0" customHeight="1">
      <c r="A39" s="7"/>
      <c r="B39" s="8"/>
      <c r="C39" s="8"/>
      <c r="D39" s="7"/>
      <c r="E39" s="7"/>
      <c r="F39" s="8"/>
      <c r="G39" s="8"/>
      <c r="H39" s="8"/>
      <c r="I39" s="8"/>
      <c r="J39" s="8"/>
      <c r="K39" s="8"/>
      <c r="L39" s="7"/>
      <c r="M39" s="7"/>
      <c r="N39" s="7"/>
      <c r="O39" s="7"/>
      <c r="P39" s="8"/>
      <c r="Q39" s="8"/>
      <c r="R39" s="4"/>
      <c r="S39" s="4"/>
      <c r="T39" s="4"/>
      <c r="U39" s="4"/>
      <c r="V39" s="4"/>
      <c r="W39" s="4"/>
      <c r="X39" s="4"/>
      <c r="Y39" s="4"/>
      <c r="Z39" s="4"/>
    </row>
    <row r="40" ht="30.0" customHeight="1">
      <c r="A40" s="10"/>
      <c r="B40" s="12"/>
      <c r="C40" s="12"/>
      <c r="D40" s="10"/>
      <c r="E40" s="10"/>
      <c r="F40" s="12"/>
      <c r="G40" s="12"/>
      <c r="H40" s="12"/>
      <c r="I40" s="12"/>
      <c r="J40" s="12"/>
      <c r="K40" s="12"/>
      <c r="L40" s="10"/>
      <c r="M40" s="10"/>
      <c r="N40" s="10"/>
      <c r="O40" s="10"/>
      <c r="P40" s="12"/>
      <c r="Q40" s="12"/>
      <c r="R40" s="4"/>
      <c r="S40" s="4"/>
      <c r="T40" s="4"/>
      <c r="U40" s="4"/>
      <c r="V40" s="4"/>
      <c r="W40" s="4"/>
      <c r="X40" s="4"/>
      <c r="Y40" s="4"/>
      <c r="Z40" s="4"/>
    </row>
    <row r="41" ht="30.0" customHeight="1">
      <c r="A41" s="7"/>
      <c r="B41" s="8"/>
      <c r="C41" s="8"/>
      <c r="D41" s="7"/>
      <c r="E41" s="7"/>
      <c r="F41" s="8"/>
      <c r="G41" s="8"/>
      <c r="H41" s="8"/>
      <c r="I41" s="8"/>
      <c r="J41" s="8"/>
      <c r="K41" s="8"/>
      <c r="L41" s="7"/>
      <c r="M41" s="7"/>
      <c r="N41" s="7"/>
      <c r="O41" s="7"/>
      <c r="P41" s="8"/>
      <c r="Q41" s="8"/>
      <c r="R41" s="4"/>
      <c r="S41" s="4"/>
      <c r="T41" s="4"/>
      <c r="U41" s="4"/>
      <c r="V41" s="4"/>
      <c r="W41" s="4"/>
      <c r="X41" s="4"/>
      <c r="Y41" s="4"/>
      <c r="Z41" s="4"/>
    </row>
    <row r="42" ht="30.0" customHeight="1">
      <c r="A42" s="10"/>
      <c r="B42" s="12"/>
      <c r="C42" s="12"/>
      <c r="D42" s="10"/>
      <c r="E42" s="10"/>
      <c r="F42" s="12"/>
      <c r="G42" s="12"/>
      <c r="H42" s="12"/>
      <c r="I42" s="12"/>
      <c r="J42" s="12"/>
      <c r="K42" s="12"/>
      <c r="L42" s="10"/>
      <c r="M42" s="10"/>
      <c r="N42" s="10"/>
      <c r="O42" s="10"/>
      <c r="P42" s="12"/>
      <c r="Q42" s="12"/>
      <c r="R42" s="4"/>
      <c r="S42" s="4"/>
      <c r="T42" s="4"/>
      <c r="U42" s="4"/>
      <c r="V42" s="4"/>
      <c r="W42" s="4"/>
      <c r="X42" s="4"/>
      <c r="Y42" s="4"/>
      <c r="Z42" s="4"/>
    </row>
    <row r="43" ht="30.0" customHeight="1">
      <c r="A43" s="7"/>
      <c r="B43" s="8"/>
      <c r="C43" s="8"/>
      <c r="D43" s="7"/>
      <c r="E43" s="7"/>
      <c r="F43" s="8"/>
      <c r="G43" s="8"/>
      <c r="H43" s="8"/>
      <c r="I43" s="8"/>
      <c r="J43" s="8"/>
      <c r="K43" s="8"/>
      <c r="L43" s="7"/>
      <c r="M43" s="7"/>
      <c r="N43" s="7"/>
      <c r="O43" s="7"/>
      <c r="P43" s="8"/>
      <c r="Q43" s="8"/>
      <c r="R43" s="4"/>
      <c r="S43" s="4"/>
      <c r="T43" s="4"/>
      <c r="U43" s="4"/>
      <c r="V43" s="4"/>
      <c r="W43" s="4"/>
      <c r="X43" s="4"/>
      <c r="Y43" s="4"/>
      <c r="Z43" s="4"/>
    </row>
    <row r="44" ht="30.0" customHeight="1">
      <c r="A44" s="10"/>
      <c r="B44" s="12"/>
      <c r="C44" s="12"/>
      <c r="D44" s="10"/>
      <c r="E44" s="10"/>
      <c r="F44" s="12"/>
      <c r="G44" s="12"/>
      <c r="H44" s="12"/>
      <c r="I44" s="12"/>
      <c r="J44" s="12"/>
      <c r="K44" s="12"/>
      <c r="L44" s="10"/>
      <c r="M44" s="10"/>
      <c r="N44" s="10"/>
      <c r="O44" s="10"/>
      <c r="P44" s="12"/>
      <c r="Q44" s="12"/>
      <c r="R44" s="4"/>
      <c r="S44" s="4"/>
      <c r="T44" s="4"/>
      <c r="U44" s="4"/>
      <c r="V44" s="4"/>
      <c r="W44" s="4"/>
      <c r="X44" s="4"/>
      <c r="Y44" s="4"/>
      <c r="Z44" s="4"/>
    </row>
    <row r="45" ht="30.0" customHeight="1">
      <c r="A45" s="7"/>
      <c r="B45" s="8"/>
      <c r="C45" s="8"/>
      <c r="D45" s="7"/>
      <c r="E45" s="7"/>
      <c r="F45" s="8"/>
      <c r="G45" s="8"/>
      <c r="H45" s="8"/>
      <c r="I45" s="8"/>
      <c r="J45" s="8"/>
      <c r="K45" s="8"/>
      <c r="L45" s="7"/>
      <c r="M45" s="7"/>
      <c r="N45" s="7"/>
      <c r="O45" s="7"/>
      <c r="P45" s="8"/>
      <c r="Q45" s="8"/>
      <c r="R45" s="4"/>
      <c r="S45" s="4"/>
      <c r="T45" s="4"/>
      <c r="U45" s="4"/>
      <c r="V45" s="4"/>
      <c r="W45" s="4"/>
      <c r="X45" s="4"/>
      <c r="Y45" s="4"/>
      <c r="Z45" s="4"/>
    </row>
    <row r="46" ht="30.0" customHeight="1">
      <c r="A46" s="10"/>
      <c r="B46" s="12"/>
      <c r="C46" s="12"/>
      <c r="D46" s="10"/>
      <c r="E46" s="10"/>
      <c r="F46" s="12"/>
      <c r="G46" s="12"/>
      <c r="H46" s="12"/>
      <c r="I46" s="12"/>
      <c r="J46" s="12"/>
      <c r="K46" s="12"/>
      <c r="L46" s="10"/>
      <c r="M46" s="10"/>
      <c r="N46" s="10"/>
      <c r="O46" s="10"/>
      <c r="P46" s="12"/>
      <c r="Q46" s="12"/>
      <c r="R46" s="4"/>
      <c r="S46" s="4"/>
      <c r="T46" s="4"/>
      <c r="U46" s="4"/>
      <c r="V46" s="4"/>
      <c r="W46" s="4"/>
      <c r="X46" s="4"/>
      <c r="Y46" s="4"/>
      <c r="Z46" s="4"/>
    </row>
    <row r="47" ht="30.0" customHeight="1">
      <c r="A47" s="7"/>
      <c r="B47" s="8"/>
      <c r="C47" s="8"/>
      <c r="D47" s="7"/>
      <c r="E47" s="7"/>
      <c r="F47" s="8"/>
      <c r="G47" s="8"/>
      <c r="H47" s="8"/>
      <c r="I47" s="8"/>
      <c r="J47" s="8"/>
      <c r="K47" s="8"/>
      <c r="L47" s="7"/>
      <c r="M47" s="7"/>
      <c r="N47" s="7"/>
      <c r="O47" s="7"/>
      <c r="P47" s="8"/>
      <c r="Q47" s="8"/>
      <c r="R47" s="4"/>
      <c r="S47" s="4"/>
      <c r="T47" s="4"/>
      <c r="U47" s="4"/>
      <c r="V47" s="4"/>
      <c r="W47" s="4"/>
      <c r="X47" s="4"/>
      <c r="Y47" s="4"/>
      <c r="Z47" s="4"/>
    </row>
    <row r="48" ht="30.0" customHeight="1">
      <c r="A48" s="10"/>
      <c r="B48" s="12"/>
      <c r="C48" s="12"/>
      <c r="D48" s="10"/>
      <c r="E48" s="10"/>
      <c r="F48" s="12"/>
      <c r="G48" s="12"/>
      <c r="H48" s="12"/>
      <c r="I48" s="12"/>
      <c r="J48" s="12"/>
      <c r="K48" s="12"/>
      <c r="L48" s="10"/>
      <c r="M48" s="10"/>
      <c r="N48" s="10"/>
      <c r="O48" s="10"/>
      <c r="P48" s="12"/>
      <c r="Q48" s="12"/>
      <c r="R48" s="4"/>
      <c r="S48" s="4"/>
      <c r="T48" s="4"/>
      <c r="U48" s="4"/>
      <c r="V48" s="4"/>
      <c r="W48" s="4"/>
      <c r="X48" s="4"/>
      <c r="Y48" s="4"/>
      <c r="Z48" s="4"/>
    </row>
    <row r="49" ht="30.0" customHeight="1">
      <c r="A49" s="7"/>
      <c r="B49" s="8"/>
      <c r="C49" s="8"/>
      <c r="D49" s="7"/>
      <c r="E49" s="7"/>
      <c r="F49" s="8"/>
      <c r="G49" s="8"/>
      <c r="H49" s="8"/>
      <c r="I49" s="8"/>
      <c r="J49" s="8"/>
      <c r="K49" s="8"/>
      <c r="L49" s="7"/>
      <c r="M49" s="7"/>
      <c r="N49" s="7"/>
      <c r="O49" s="7"/>
      <c r="P49" s="8"/>
      <c r="Q49" s="8"/>
      <c r="R49" s="4"/>
      <c r="S49" s="4"/>
      <c r="T49" s="4"/>
      <c r="U49" s="4"/>
      <c r="V49" s="4"/>
      <c r="W49" s="4"/>
      <c r="X49" s="4"/>
      <c r="Y49" s="4"/>
      <c r="Z49" s="4"/>
    </row>
    <row r="50" ht="30.0" customHeight="1">
      <c r="A50" s="10"/>
      <c r="B50" s="12"/>
      <c r="C50" s="12"/>
      <c r="D50" s="10"/>
      <c r="E50" s="10"/>
      <c r="F50" s="12"/>
      <c r="G50" s="12"/>
      <c r="H50" s="12"/>
      <c r="I50" s="12"/>
      <c r="J50" s="12"/>
      <c r="K50" s="12"/>
      <c r="L50" s="10"/>
      <c r="M50" s="10"/>
      <c r="N50" s="10"/>
      <c r="O50" s="10"/>
      <c r="P50" s="12"/>
      <c r="Q50" s="12"/>
      <c r="R50" s="4"/>
      <c r="S50" s="4"/>
      <c r="T50" s="4"/>
      <c r="U50" s="4"/>
      <c r="V50" s="4"/>
      <c r="W50" s="4"/>
      <c r="X50" s="4"/>
      <c r="Y50" s="4"/>
      <c r="Z50" s="4"/>
    </row>
    <row r="51" ht="30.0" customHeight="1">
      <c r="A51" s="7"/>
      <c r="B51" s="8"/>
      <c r="C51" s="8"/>
      <c r="D51" s="7"/>
      <c r="E51" s="7"/>
      <c r="F51" s="8"/>
      <c r="G51" s="8"/>
      <c r="H51" s="8"/>
      <c r="I51" s="8"/>
      <c r="J51" s="8"/>
      <c r="K51" s="8"/>
      <c r="L51" s="7"/>
      <c r="M51" s="7"/>
      <c r="N51" s="7"/>
      <c r="O51" s="7"/>
      <c r="P51" s="8"/>
      <c r="Q51" s="8"/>
      <c r="R51" s="4"/>
      <c r="S51" s="4"/>
      <c r="T51" s="4"/>
      <c r="U51" s="4"/>
      <c r="V51" s="4"/>
      <c r="W51" s="4"/>
      <c r="X51" s="4"/>
      <c r="Y51" s="4"/>
      <c r="Z51" s="4"/>
    </row>
    <row r="52" ht="30.0" customHeight="1">
      <c r="A52" s="10"/>
      <c r="B52" s="12"/>
      <c r="C52" s="12"/>
      <c r="D52" s="10"/>
      <c r="E52" s="10"/>
      <c r="F52" s="12"/>
      <c r="G52" s="12"/>
      <c r="H52" s="12"/>
      <c r="I52" s="12"/>
      <c r="J52" s="12"/>
      <c r="K52" s="12"/>
      <c r="L52" s="10"/>
      <c r="M52" s="10"/>
      <c r="N52" s="10"/>
      <c r="O52" s="10"/>
      <c r="P52" s="12"/>
      <c r="Q52" s="12"/>
      <c r="R52" s="4"/>
      <c r="S52" s="4"/>
      <c r="T52" s="4"/>
      <c r="U52" s="4"/>
      <c r="V52" s="4"/>
      <c r="W52" s="4"/>
      <c r="X52" s="4"/>
      <c r="Y52" s="4"/>
      <c r="Z52" s="4"/>
    </row>
    <row r="53" ht="30.0" customHeight="1">
      <c r="A53" s="7"/>
      <c r="B53" s="8"/>
      <c r="C53" s="8"/>
      <c r="D53" s="7"/>
      <c r="E53" s="7"/>
      <c r="F53" s="8"/>
      <c r="G53" s="8"/>
      <c r="H53" s="8"/>
      <c r="I53" s="8"/>
      <c r="J53" s="8"/>
      <c r="K53" s="8"/>
      <c r="L53" s="7"/>
      <c r="M53" s="7"/>
      <c r="N53" s="7"/>
      <c r="O53" s="7"/>
      <c r="P53" s="8"/>
      <c r="Q53" s="8"/>
      <c r="R53" s="4"/>
      <c r="S53" s="4"/>
      <c r="T53" s="4"/>
      <c r="U53" s="4"/>
      <c r="V53" s="4"/>
      <c r="W53" s="4"/>
      <c r="X53" s="4"/>
      <c r="Y53" s="4"/>
      <c r="Z53" s="4"/>
    </row>
    <row r="54" ht="30.0" customHeight="1">
      <c r="A54" s="10"/>
      <c r="B54" s="12"/>
      <c r="C54" s="12"/>
      <c r="D54" s="10"/>
      <c r="E54" s="10"/>
      <c r="F54" s="12"/>
      <c r="G54" s="12"/>
      <c r="H54" s="12"/>
      <c r="I54" s="12"/>
      <c r="J54" s="12"/>
      <c r="K54" s="12"/>
      <c r="L54" s="10"/>
      <c r="M54" s="10"/>
      <c r="N54" s="10"/>
      <c r="O54" s="10"/>
      <c r="P54" s="12"/>
      <c r="Q54" s="12"/>
      <c r="R54" s="4"/>
      <c r="S54" s="4"/>
      <c r="T54" s="4"/>
      <c r="U54" s="4"/>
      <c r="V54" s="4"/>
      <c r="W54" s="4"/>
      <c r="X54" s="4"/>
      <c r="Y54" s="4"/>
      <c r="Z54" s="4"/>
    </row>
    <row r="55" ht="30.0" customHeight="1">
      <c r="A55" s="7"/>
      <c r="B55" s="8"/>
      <c r="C55" s="8"/>
      <c r="D55" s="7"/>
      <c r="E55" s="7"/>
      <c r="F55" s="8"/>
      <c r="G55" s="8"/>
      <c r="H55" s="8"/>
      <c r="I55" s="8"/>
      <c r="J55" s="8"/>
      <c r="K55" s="8"/>
      <c r="L55" s="7"/>
      <c r="M55" s="7"/>
      <c r="N55" s="7"/>
      <c r="O55" s="7"/>
      <c r="P55" s="8"/>
      <c r="Q55" s="8"/>
      <c r="R55" s="4"/>
      <c r="S55" s="4"/>
      <c r="T55" s="4"/>
      <c r="U55" s="4"/>
      <c r="V55" s="4"/>
      <c r="W55" s="4"/>
      <c r="X55" s="4"/>
      <c r="Y55" s="4"/>
      <c r="Z55" s="4"/>
    </row>
    <row r="56" ht="30.0" customHeight="1">
      <c r="A56" s="10"/>
      <c r="B56" s="12"/>
      <c r="C56" s="12"/>
      <c r="D56" s="10"/>
      <c r="E56" s="10"/>
      <c r="F56" s="12"/>
      <c r="G56" s="12"/>
      <c r="H56" s="12"/>
      <c r="I56" s="12"/>
      <c r="J56" s="12"/>
      <c r="K56" s="12"/>
      <c r="L56" s="10"/>
      <c r="M56" s="10"/>
      <c r="N56" s="10"/>
      <c r="O56" s="10"/>
      <c r="P56" s="12"/>
      <c r="Q56" s="12"/>
      <c r="R56" s="4"/>
      <c r="S56" s="4"/>
      <c r="T56" s="4"/>
      <c r="U56" s="4"/>
      <c r="V56" s="4"/>
      <c r="W56" s="4"/>
      <c r="X56" s="4"/>
      <c r="Y56" s="4"/>
      <c r="Z56" s="4"/>
    </row>
    <row r="57" ht="30.0" customHeight="1">
      <c r="A57" s="7"/>
      <c r="B57" s="8"/>
      <c r="C57" s="8"/>
      <c r="D57" s="7"/>
      <c r="E57" s="7"/>
      <c r="F57" s="8"/>
      <c r="G57" s="8"/>
      <c r="H57" s="8"/>
      <c r="I57" s="8"/>
      <c r="J57" s="8"/>
      <c r="K57" s="8"/>
      <c r="L57" s="7"/>
      <c r="M57" s="7"/>
      <c r="N57" s="7"/>
      <c r="O57" s="7"/>
      <c r="P57" s="8"/>
      <c r="Q57" s="8"/>
      <c r="R57" s="4"/>
      <c r="S57" s="4"/>
      <c r="T57" s="4"/>
      <c r="U57" s="4"/>
      <c r="V57" s="4"/>
      <c r="W57" s="4"/>
      <c r="X57" s="4"/>
      <c r="Y57" s="4"/>
      <c r="Z57" s="4"/>
    </row>
    <row r="58" ht="30.0" customHeight="1">
      <c r="A58" s="10"/>
      <c r="B58" s="12"/>
      <c r="C58" s="12"/>
      <c r="D58" s="10"/>
      <c r="E58" s="10"/>
      <c r="F58" s="12"/>
      <c r="G58" s="12"/>
      <c r="H58" s="12"/>
      <c r="I58" s="12"/>
      <c r="J58" s="12"/>
      <c r="K58" s="12"/>
      <c r="L58" s="10"/>
      <c r="M58" s="10"/>
      <c r="N58" s="10"/>
      <c r="O58" s="10"/>
      <c r="P58" s="12"/>
      <c r="Q58" s="12"/>
      <c r="R58" s="4"/>
      <c r="S58" s="4"/>
      <c r="T58" s="4"/>
      <c r="U58" s="4"/>
      <c r="V58" s="4"/>
      <c r="W58" s="4"/>
      <c r="X58" s="4"/>
      <c r="Y58" s="4"/>
      <c r="Z58" s="4"/>
    </row>
    <row r="59" ht="30.0" customHeight="1">
      <c r="A59" s="7"/>
      <c r="B59" s="8"/>
      <c r="C59" s="8"/>
      <c r="D59" s="7"/>
      <c r="E59" s="7"/>
      <c r="F59" s="8"/>
      <c r="G59" s="8"/>
      <c r="H59" s="8"/>
      <c r="I59" s="8"/>
      <c r="J59" s="8"/>
      <c r="K59" s="8"/>
      <c r="L59" s="7"/>
      <c r="M59" s="7"/>
      <c r="N59" s="7"/>
      <c r="O59" s="7"/>
      <c r="P59" s="8"/>
      <c r="Q59" s="8"/>
      <c r="R59" s="4"/>
      <c r="S59" s="4"/>
      <c r="T59" s="4"/>
      <c r="U59" s="4"/>
      <c r="V59" s="4"/>
      <c r="W59" s="4"/>
      <c r="X59" s="4"/>
      <c r="Y59" s="4"/>
      <c r="Z59" s="4"/>
    </row>
    <row r="60" ht="30.0" customHeight="1">
      <c r="A60" s="10"/>
      <c r="B60" s="12"/>
      <c r="C60" s="12"/>
      <c r="D60" s="10"/>
      <c r="E60" s="10"/>
      <c r="F60" s="12"/>
      <c r="G60" s="12"/>
      <c r="H60" s="12"/>
      <c r="I60" s="12"/>
      <c r="J60" s="12"/>
      <c r="K60" s="12"/>
      <c r="L60" s="10"/>
      <c r="M60" s="10"/>
      <c r="N60" s="10"/>
      <c r="O60" s="10"/>
      <c r="P60" s="12"/>
      <c r="Q60" s="12"/>
      <c r="R60" s="4"/>
      <c r="S60" s="4"/>
      <c r="T60" s="4"/>
      <c r="U60" s="4"/>
      <c r="V60" s="4"/>
      <c r="W60" s="4"/>
      <c r="X60" s="4"/>
      <c r="Y60" s="4"/>
      <c r="Z60" s="4"/>
    </row>
    <row r="61" ht="30.0" customHeight="1">
      <c r="A61" s="7"/>
      <c r="B61" s="8"/>
      <c r="C61" s="8"/>
      <c r="D61" s="7"/>
      <c r="E61" s="7"/>
      <c r="F61" s="8"/>
      <c r="G61" s="8"/>
      <c r="H61" s="8"/>
      <c r="I61" s="8"/>
      <c r="J61" s="8"/>
      <c r="K61" s="8"/>
      <c r="L61" s="7"/>
      <c r="M61" s="7"/>
      <c r="N61" s="7"/>
      <c r="O61" s="7"/>
      <c r="P61" s="8"/>
      <c r="Q61" s="8"/>
      <c r="R61" s="4"/>
      <c r="S61" s="4"/>
      <c r="T61" s="4"/>
      <c r="U61" s="4"/>
      <c r="V61" s="4"/>
      <c r="W61" s="4"/>
      <c r="X61" s="4"/>
      <c r="Y61" s="4"/>
      <c r="Z61" s="4"/>
    </row>
    <row r="62" ht="30.0" customHeight="1">
      <c r="A62" s="10"/>
      <c r="B62" s="12"/>
      <c r="C62" s="12"/>
      <c r="D62" s="10"/>
      <c r="E62" s="10"/>
      <c r="F62" s="12"/>
      <c r="G62" s="12"/>
      <c r="H62" s="12"/>
      <c r="I62" s="12"/>
      <c r="J62" s="12"/>
      <c r="K62" s="12"/>
      <c r="L62" s="10"/>
      <c r="M62" s="10"/>
      <c r="N62" s="10"/>
      <c r="O62" s="10"/>
      <c r="P62" s="12"/>
      <c r="Q62" s="12"/>
      <c r="R62" s="4"/>
      <c r="S62" s="4"/>
      <c r="T62" s="4"/>
      <c r="U62" s="4"/>
      <c r="V62" s="4"/>
      <c r="W62" s="4"/>
      <c r="X62" s="4"/>
      <c r="Y62" s="4"/>
      <c r="Z62" s="4"/>
    </row>
    <row r="63" ht="30.0" customHeight="1">
      <c r="A63" s="7"/>
      <c r="B63" s="8"/>
      <c r="C63" s="8"/>
      <c r="D63" s="7"/>
      <c r="E63" s="7"/>
      <c r="F63" s="8"/>
      <c r="G63" s="8"/>
      <c r="H63" s="8"/>
      <c r="I63" s="8"/>
      <c r="J63" s="8"/>
      <c r="K63" s="8"/>
      <c r="L63" s="7"/>
      <c r="M63" s="7"/>
      <c r="N63" s="7"/>
      <c r="O63" s="7"/>
      <c r="P63" s="8"/>
      <c r="Q63" s="8"/>
      <c r="R63" s="4"/>
      <c r="S63" s="4"/>
      <c r="T63" s="4"/>
      <c r="U63" s="4"/>
      <c r="V63" s="4"/>
      <c r="W63" s="4"/>
      <c r="X63" s="4"/>
      <c r="Y63" s="4"/>
      <c r="Z63" s="4"/>
    </row>
    <row r="64" ht="30.0" customHeight="1">
      <c r="A64" s="10"/>
      <c r="B64" s="12"/>
      <c r="C64" s="12"/>
      <c r="D64" s="10"/>
      <c r="E64" s="10"/>
      <c r="F64" s="12"/>
      <c r="G64" s="12"/>
      <c r="H64" s="12"/>
      <c r="I64" s="12"/>
      <c r="J64" s="12"/>
      <c r="K64" s="12"/>
      <c r="L64" s="10"/>
      <c r="M64" s="10"/>
      <c r="N64" s="10"/>
      <c r="O64" s="10"/>
      <c r="P64" s="12"/>
      <c r="Q64" s="12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4:$Q$64"/>
  <mergeCells count="3">
    <mergeCell ref="A1:Q1"/>
    <mergeCell ref="B2:C2"/>
    <mergeCell ref="B3:F3"/>
  </mergeCells>
  <conditionalFormatting sqref="N5:N64">
    <cfRule type="cellIs" dxfId="3" priority="1" operator="equal">
      <formula>"Pass"</formula>
    </cfRule>
  </conditionalFormatting>
  <conditionalFormatting sqref="N5:N64">
    <cfRule type="cellIs" dxfId="0" priority="2" operator="equal">
      <formula>"Fail"</formula>
    </cfRule>
  </conditionalFormatting>
  <conditionalFormatting sqref="N5:N64">
    <cfRule type="cellIs" dxfId="1" priority="3" operator="equal">
      <formula>"Blocked"</formula>
    </cfRule>
  </conditionalFormatting>
  <conditionalFormatting sqref="N5:N64">
    <cfRule type="cellIs" dxfId="5" priority="4" operator="equal">
      <formula>"Not Run"</formula>
    </cfRule>
  </conditionalFormatting>
  <dataValidations>
    <dataValidation type="list" allowBlank="1" showInputMessage="1" showErrorMessage="1" prompt="Pilihan tidak valid - Pilih dari dropdown." sqref="D5:D64">
      <formula1>"Positive,Negative,Edge Case"</formula1>
    </dataValidation>
    <dataValidation type="list" allowBlank="1" showInputMessage="1" showErrorMessage="1" prompt="Pilihan tidak valid - Pilih dari dropdown." sqref="N5:N64">
      <formula1>"Not Run,Pass,Fail,Blocked"</formula1>
    </dataValidation>
    <dataValidation type="list" allowBlank="1" showInputMessage="1" showErrorMessage="1" prompt="Pilihan tidak valid - Pilih dari dropdown." sqref="E5:E64">
      <formula1>"GET,POST,PUT,PATCH,DELETE"</formula1>
    </dataValidation>
  </dataValidations>
  <hyperlinks>
    <hyperlink r:id="rId1" ref="P5"/>
    <hyperlink r:id="rId2" ref="P6"/>
    <hyperlink r:id="rId3" ref="P7"/>
    <hyperlink r:id="rId4" ref="P8"/>
    <hyperlink r:id="rId5" ref="P9"/>
    <hyperlink r:id="rId6" ref="P10"/>
    <hyperlink r:id="rId7" ref="P11"/>
    <hyperlink r:id="rId8" ref="P12"/>
    <hyperlink r:id="rId9" ref="P13"/>
    <hyperlink r:id="rId10" ref="P14"/>
  </hyperlinks>
  <printOptions/>
  <pageMargins bottom="1.0" footer="0.0" header="0.0" left="0.75" right="0.75" top="1.0"/>
  <pageSetup paperSize="9" orientation="portrait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1.0"/>
    <col customWidth="1" min="2" max="2" width="40.0"/>
    <col customWidth="1" min="3" max="3" width="20.0"/>
    <col customWidth="1" min="4" max="4" width="11.0"/>
    <col customWidth="1" min="5" max="5" width="32.0"/>
    <col customWidth="1" min="6" max="6" width="22.0"/>
    <col customWidth="1" min="7" max="7" width="44.0"/>
    <col customWidth="1" min="8" max="8" width="30.0"/>
    <col customWidth="1" min="9" max="9" width="32.0"/>
    <col customWidth="1" min="10" max="10" width="12.0"/>
    <col customWidth="1" min="11" max="11" width="13.0"/>
    <col customWidth="1" min="12" max="12" width="26.0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 t="s">
        <v>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7"/>
      <c r="B4" s="8"/>
      <c r="C4" s="7"/>
      <c r="D4" s="7"/>
      <c r="E4" s="8"/>
      <c r="F4" s="8"/>
      <c r="G4" s="8"/>
      <c r="H4" s="8"/>
      <c r="I4" s="8"/>
      <c r="J4" s="7"/>
      <c r="K4" s="7"/>
      <c r="L4" s="8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10"/>
      <c r="B5" s="12"/>
      <c r="C5" s="10"/>
      <c r="D5" s="10"/>
      <c r="E5" s="12"/>
      <c r="F5" s="12"/>
      <c r="G5" s="12"/>
      <c r="H5" s="12"/>
      <c r="I5" s="12"/>
      <c r="J5" s="10"/>
      <c r="K5" s="10"/>
      <c r="L5" s="1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7"/>
      <c r="B6" s="8"/>
      <c r="C6" s="7"/>
      <c r="D6" s="7"/>
      <c r="E6" s="8"/>
      <c r="F6" s="8"/>
      <c r="G6" s="8"/>
      <c r="H6" s="8"/>
      <c r="I6" s="8"/>
      <c r="J6" s="7"/>
      <c r="K6" s="7"/>
      <c r="L6" s="8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0"/>
      <c r="B7" s="12"/>
      <c r="C7" s="10"/>
      <c r="D7" s="10"/>
      <c r="E7" s="12"/>
      <c r="F7" s="12"/>
      <c r="G7" s="12"/>
      <c r="H7" s="12"/>
      <c r="I7" s="12"/>
      <c r="J7" s="10"/>
      <c r="K7" s="10"/>
      <c r="L7" s="1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7"/>
      <c r="B8" s="8"/>
      <c r="C8" s="7"/>
      <c r="D8" s="7"/>
      <c r="E8" s="8"/>
      <c r="F8" s="8"/>
      <c r="G8" s="8"/>
      <c r="H8" s="8"/>
      <c r="I8" s="8"/>
      <c r="J8" s="7"/>
      <c r="K8" s="7"/>
      <c r="L8" s="8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10"/>
      <c r="B9" s="12"/>
      <c r="C9" s="10"/>
      <c r="D9" s="10"/>
      <c r="E9" s="12"/>
      <c r="F9" s="12"/>
      <c r="G9" s="12"/>
      <c r="H9" s="12"/>
      <c r="I9" s="12"/>
      <c r="J9" s="10"/>
      <c r="K9" s="10"/>
      <c r="L9" s="1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7"/>
      <c r="B10" s="8"/>
      <c r="C10" s="7"/>
      <c r="D10" s="7"/>
      <c r="E10" s="8"/>
      <c r="F10" s="8"/>
      <c r="G10" s="8"/>
      <c r="H10" s="8"/>
      <c r="I10" s="8"/>
      <c r="J10" s="7"/>
      <c r="K10" s="7"/>
      <c r="L10" s="8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10"/>
      <c r="B11" s="12"/>
      <c r="C11" s="10"/>
      <c r="D11" s="10"/>
      <c r="E11" s="12"/>
      <c r="F11" s="12"/>
      <c r="G11" s="12"/>
      <c r="H11" s="12"/>
      <c r="I11" s="12"/>
      <c r="J11" s="10"/>
      <c r="K11" s="10"/>
      <c r="L11" s="1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7"/>
      <c r="B12" s="8"/>
      <c r="C12" s="7"/>
      <c r="D12" s="7"/>
      <c r="E12" s="8"/>
      <c r="F12" s="8"/>
      <c r="G12" s="8"/>
      <c r="H12" s="8"/>
      <c r="I12" s="8"/>
      <c r="J12" s="7"/>
      <c r="K12" s="7"/>
      <c r="L12" s="8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10"/>
      <c r="B13" s="12"/>
      <c r="C13" s="10"/>
      <c r="D13" s="10"/>
      <c r="E13" s="12"/>
      <c r="F13" s="12"/>
      <c r="G13" s="12"/>
      <c r="H13" s="12"/>
      <c r="I13" s="12"/>
      <c r="J13" s="10"/>
      <c r="K13" s="10"/>
      <c r="L13" s="1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7"/>
      <c r="B14" s="8"/>
      <c r="C14" s="7"/>
      <c r="D14" s="7"/>
      <c r="E14" s="8"/>
      <c r="F14" s="8"/>
      <c r="G14" s="8"/>
      <c r="H14" s="8"/>
      <c r="I14" s="8"/>
      <c r="J14" s="7"/>
      <c r="K14" s="7"/>
      <c r="L14" s="8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0"/>
      <c r="B15" s="12"/>
      <c r="C15" s="10"/>
      <c r="D15" s="10"/>
      <c r="E15" s="12"/>
      <c r="F15" s="12"/>
      <c r="G15" s="12"/>
      <c r="H15" s="12"/>
      <c r="I15" s="12"/>
      <c r="J15" s="10"/>
      <c r="K15" s="10"/>
      <c r="L15" s="12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7"/>
      <c r="B16" s="8"/>
      <c r="C16" s="7"/>
      <c r="D16" s="7"/>
      <c r="E16" s="8"/>
      <c r="F16" s="8"/>
      <c r="G16" s="8"/>
      <c r="H16" s="8"/>
      <c r="I16" s="8"/>
      <c r="J16" s="7"/>
      <c r="K16" s="7"/>
      <c r="L16" s="8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10"/>
      <c r="B17" s="12"/>
      <c r="C17" s="10"/>
      <c r="D17" s="10"/>
      <c r="E17" s="12"/>
      <c r="F17" s="12"/>
      <c r="G17" s="12"/>
      <c r="H17" s="12"/>
      <c r="I17" s="12"/>
      <c r="J17" s="10"/>
      <c r="K17" s="10"/>
      <c r="L17" s="12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7"/>
      <c r="B18" s="8"/>
      <c r="C18" s="7"/>
      <c r="D18" s="7"/>
      <c r="E18" s="8"/>
      <c r="F18" s="8"/>
      <c r="G18" s="8"/>
      <c r="H18" s="8"/>
      <c r="I18" s="8"/>
      <c r="J18" s="7"/>
      <c r="K18" s="7"/>
      <c r="L18" s="8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10"/>
      <c r="B19" s="12"/>
      <c r="C19" s="10"/>
      <c r="D19" s="10"/>
      <c r="E19" s="12"/>
      <c r="F19" s="12"/>
      <c r="G19" s="12"/>
      <c r="H19" s="12"/>
      <c r="I19" s="12"/>
      <c r="J19" s="10"/>
      <c r="K19" s="10"/>
      <c r="L19" s="12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7"/>
      <c r="B20" s="8"/>
      <c r="C20" s="7"/>
      <c r="D20" s="7"/>
      <c r="E20" s="8"/>
      <c r="F20" s="8"/>
      <c r="G20" s="8"/>
      <c r="H20" s="8"/>
      <c r="I20" s="8"/>
      <c r="J20" s="7"/>
      <c r="K20" s="7"/>
      <c r="L20" s="8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10"/>
      <c r="B21" s="12"/>
      <c r="C21" s="10"/>
      <c r="D21" s="10"/>
      <c r="E21" s="12"/>
      <c r="F21" s="12"/>
      <c r="G21" s="12"/>
      <c r="H21" s="12"/>
      <c r="I21" s="12"/>
      <c r="J21" s="10"/>
      <c r="K21" s="10"/>
      <c r="L21" s="1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0" customHeight="1">
      <c r="A22" s="7"/>
      <c r="B22" s="8"/>
      <c r="C22" s="7"/>
      <c r="D22" s="7"/>
      <c r="E22" s="8"/>
      <c r="F22" s="8"/>
      <c r="G22" s="8"/>
      <c r="H22" s="8"/>
      <c r="I22" s="8"/>
      <c r="J22" s="7"/>
      <c r="K22" s="7"/>
      <c r="L22" s="8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0" customHeight="1">
      <c r="A23" s="10"/>
      <c r="B23" s="12"/>
      <c r="C23" s="10"/>
      <c r="D23" s="10"/>
      <c r="E23" s="12"/>
      <c r="F23" s="12"/>
      <c r="G23" s="12"/>
      <c r="H23" s="12"/>
      <c r="I23" s="12"/>
      <c r="J23" s="10"/>
      <c r="K23" s="10"/>
      <c r="L23" s="1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0" customHeight="1">
      <c r="A24" s="7"/>
      <c r="B24" s="8"/>
      <c r="C24" s="7"/>
      <c r="D24" s="7"/>
      <c r="E24" s="8"/>
      <c r="F24" s="8"/>
      <c r="G24" s="8"/>
      <c r="H24" s="8"/>
      <c r="I24" s="8"/>
      <c r="J24" s="7"/>
      <c r="K24" s="7"/>
      <c r="L24" s="8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0" customHeight="1">
      <c r="A25" s="10"/>
      <c r="B25" s="12"/>
      <c r="C25" s="10"/>
      <c r="D25" s="10"/>
      <c r="E25" s="12"/>
      <c r="F25" s="12"/>
      <c r="G25" s="12"/>
      <c r="H25" s="12"/>
      <c r="I25" s="12"/>
      <c r="J25" s="10"/>
      <c r="K25" s="10"/>
      <c r="L25" s="1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0" customHeight="1">
      <c r="A26" s="7"/>
      <c r="B26" s="8"/>
      <c r="C26" s="7"/>
      <c r="D26" s="7"/>
      <c r="E26" s="8"/>
      <c r="F26" s="8"/>
      <c r="G26" s="8"/>
      <c r="H26" s="8"/>
      <c r="I26" s="8"/>
      <c r="J26" s="7"/>
      <c r="K26" s="7"/>
      <c r="L26" s="8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0.0" customHeight="1">
      <c r="A27" s="10"/>
      <c r="B27" s="12"/>
      <c r="C27" s="10"/>
      <c r="D27" s="10"/>
      <c r="E27" s="12"/>
      <c r="F27" s="12"/>
      <c r="G27" s="12"/>
      <c r="H27" s="12"/>
      <c r="I27" s="12"/>
      <c r="J27" s="10"/>
      <c r="K27" s="10"/>
      <c r="L27" s="1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7"/>
      <c r="B28" s="8"/>
      <c r="C28" s="7"/>
      <c r="D28" s="7"/>
      <c r="E28" s="8"/>
      <c r="F28" s="8"/>
      <c r="G28" s="8"/>
      <c r="H28" s="8"/>
      <c r="I28" s="8"/>
      <c r="J28" s="7"/>
      <c r="K28" s="7"/>
      <c r="L28" s="8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10"/>
      <c r="B29" s="12"/>
      <c r="C29" s="10"/>
      <c r="D29" s="10"/>
      <c r="E29" s="12"/>
      <c r="F29" s="12"/>
      <c r="G29" s="12"/>
      <c r="H29" s="12"/>
      <c r="I29" s="12"/>
      <c r="J29" s="10"/>
      <c r="K29" s="10"/>
      <c r="L29" s="1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7"/>
      <c r="B30" s="8"/>
      <c r="C30" s="7"/>
      <c r="D30" s="7"/>
      <c r="E30" s="8"/>
      <c r="F30" s="8"/>
      <c r="G30" s="8"/>
      <c r="H30" s="8"/>
      <c r="I30" s="8"/>
      <c r="J30" s="7"/>
      <c r="K30" s="7"/>
      <c r="L30" s="8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.0" customHeight="1">
      <c r="A31" s="10"/>
      <c r="B31" s="12"/>
      <c r="C31" s="10"/>
      <c r="D31" s="10"/>
      <c r="E31" s="12"/>
      <c r="F31" s="12"/>
      <c r="G31" s="12"/>
      <c r="H31" s="12"/>
      <c r="I31" s="12"/>
      <c r="J31" s="10"/>
      <c r="K31" s="10"/>
      <c r="L31" s="1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0.0" customHeight="1">
      <c r="A32" s="7"/>
      <c r="B32" s="8"/>
      <c r="C32" s="7"/>
      <c r="D32" s="7"/>
      <c r="E32" s="8"/>
      <c r="F32" s="8"/>
      <c r="G32" s="8"/>
      <c r="H32" s="8"/>
      <c r="I32" s="8"/>
      <c r="J32" s="7"/>
      <c r="K32" s="7"/>
      <c r="L32" s="8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0.0" customHeight="1">
      <c r="A33" s="10"/>
      <c r="B33" s="12"/>
      <c r="C33" s="10"/>
      <c r="D33" s="10"/>
      <c r="E33" s="12"/>
      <c r="F33" s="12"/>
      <c r="G33" s="12"/>
      <c r="H33" s="12"/>
      <c r="I33" s="12"/>
      <c r="J33" s="10"/>
      <c r="K33" s="10"/>
      <c r="L33" s="1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0.0" customHeight="1">
      <c r="A34" s="7"/>
      <c r="B34" s="8"/>
      <c r="C34" s="7"/>
      <c r="D34" s="7"/>
      <c r="E34" s="8"/>
      <c r="F34" s="8"/>
      <c r="G34" s="8"/>
      <c r="H34" s="8"/>
      <c r="I34" s="8"/>
      <c r="J34" s="7"/>
      <c r="K34" s="7"/>
      <c r="L34" s="8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0.0" customHeight="1">
      <c r="A35" s="10"/>
      <c r="B35" s="12"/>
      <c r="C35" s="10"/>
      <c r="D35" s="10"/>
      <c r="E35" s="12"/>
      <c r="F35" s="12"/>
      <c r="G35" s="12"/>
      <c r="H35" s="12"/>
      <c r="I35" s="12"/>
      <c r="J35" s="10"/>
      <c r="K35" s="10"/>
      <c r="L35" s="1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0.0" customHeight="1">
      <c r="A36" s="7"/>
      <c r="B36" s="8"/>
      <c r="C36" s="7"/>
      <c r="D36" s="7"/>
      <c r="E36" s="8"/>
      <c r="F36" s="8"/>
      <c r="G36" s="8"/>
      <c r="H36" s="8"/>
      <c r="I36" s="8"/>
      <c r="J36" s="7"/>
      <c r="K36" s="7"/>
      <c r="L36" s="8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0.0" customHeight="1">
      <c r="A37" s="10"/>
      <c r="B37" s="12"/>
      <c r="C37" s="10"/>
      <c r="D37" s="10"/>
      <c r="E37" s="12"/>
      <c r="F37" s="12"/>
      <c r="G37" s="12"/>
      <c r="H37" s="12"/>
      <c r="I37" s="12"/>
      <c r="J37" s="10"/>
      <c r="K37" s="10"/>
      <c r="L37" s="1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0.0" customHeight="1">
      <c r="A38" s="7"/>
      <c r="B38" s="8"/>
      <c r="C38" s="7"/>
      <c r="D38" s="7"/>
      <c r="E38" s="8"/>
      <c r="F38" s="8"/>
      <c r="G38" s="8"/>
      <c r="H38" s="8"/>
      <c r="I38" s="8"/>
      <c r="J38" s="7"/>
      <c r="K38" s="7"/>
      <c r="L38" s="8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0.0" customHeight="1">
      <c r="A39" s="10"/>
      <c r="B39" s="12"/>
      <c r="C39" s="10"/>
      <c r="D39" s="10"/>
      <c r="E39" s="12"/>
      <c r="F39" s="12"/>
      <c r="G39" s="12"/>
      <c r="H39" s="12"/>
      <c r="I39" s="12"/>
      <c r="J39" s="10"/>
      <c r="K39" s="10"/>
      <c r="L39" s="1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0.0" customHeight="1">
      <c r="A40" s="7"/>
      <c r="B40" s="8"/>
      <c r="C40" s="7"/>
      <c r="D40" s="7"/>
      <c r="E40" s="8"/>
      <c r="F40" s="8"/>
      <c r="G40" s="8"/>
      <c r="H40" s="8"/>
      <c r="I40" s="8"/>
      <c r="J40" s="7"/>
      <c r="K40" s="7"/>
      <c r="L40" s="8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.0" customHeight="1">
      <c r="A41" s="10"/>
      <c r="B41" s="12"/>
      <c r="C41" s="10"/>
      <c r="D41" s="10"/>
      <c r="E41" s="12"/>
      <c r="F41" s="12"/>
      <c r="G41" s="12"/>
      <c r="H41" s="12"/>
      <c r="I41" s="12"/>
      <c r="J41" s="10"/>
      <c r="K41" s="10"/>
      <c r="L41" s="1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0.0" customHeight="1">
      <c r="A42" s="7"/>
      <c r="B42" s="8"/>
      <c r="C42" s="7"/>
      <c r="D42" s="7"/>
      <c r="E42" s="8"/>
      <c r="F42" s="8"/>
      <c r="G42" s="8"/>
      <c r="H42" s="8"/>
      <c r="I42" s="8"/>
      <c r="J42" s="7"/>
      <c r="K42" s="7"/>
      <c r="L42" s="8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0.0" customHeight="1">
      <c r="A43" s="10"/>
      <c r="B43" s="12"/>
      <c r="C43" s="10"/>
      <c r="D43" s="10"/>
      <c r="E43" s="12"/>
      <c r="F43" s="12"/>
      <c r="G43" s="12"/>
      <c r="H43" s="12"/>
      <c r="I43" s="12"/>
      <c r="J43" s="10"/>
      <c r="K43" s="10"/>
      <c r="L43" s="1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0.0" customHeight="1">
      <c r="A44" s="7"/>
      <c r="B44" s="8"/>
      <c r="C44" s="7"/>
      <c r="D44" s="7"/>
      <c r="E44" s="8"/>
      <c r="F44" s="8"/>
      <c r="G44" s="8"/>
      <c r="H44" s="8"/>
      <c r="I44" s="8"/>
      <c r="J44" s="7"/>
      <c r="K44" s="7"/>
      <c r="L44" s="8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0.0" customHeight="1">
      <c r="A45" s="10"/>
      <c r="B45" s="12"/>
      <c r="C45" s="10"/>
      <c r="D45" s="10"/>
      <c r="E45" s="12"/>
      <c r="F45" s="12"/>
      <c r="G45" s="12"/>
      <c r="H45" s="12"/>
      <c r="I45" s="12"/>
      <c r="J45" s="10"/>
      <c r="K45" s="10"/>
      <c r="L45" s="1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0.0" customHeight="1">
      <c r="A46" s="7"/>
      <c r="B46" s="8"/>
      <c r="C46" s="7"/>
      <c r="D46" s="7"/>
      <c r="E46" s="8"/>
      <c r="F46" s="8"/>
      <c r="G46" s="8"/>
      <c r="H46" s="8"/>
      <c r="I46" s="8"/>
      <c r="J46" s="7"/>
      <c r="K46" s="7"/>
      <c r="L46" s="8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0.0" customHeight="1">
      <c r="A47" s="10"/>
      <c r="B47" s="12"/>
      <c r="C47" s="10"/>
      <c r="D47" s="10"/>
      <c r="E47" s="12"/>
      <c r="F47" s="12"/>
      <c r="G47" s="12"/>
      <c r="H47" s="12"/>
      <c r="I47" s="12"/>
      <c r="J47" s="10"/>
      <c r="K47" s="10"/>
      <c r="L47" s="1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0.0" customHeight="1">
      <c r="A48" s="7"/>
      <c r="B48" s="8"/>
      <c r="C48" s="7"/>
      <c r="D48" s="7"/>
      <c r="E48" s="8"/>
      <c r="F48" s="8"/>
      <c r="G48" s="8"/>
      <c r="H48" s="8"/>
      <c r="I48" s="8"/>
      <c r="J48" s="7"/>
      <c r="K48" s="7"/>
      <c r="L48" s="8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0.0" customHeight="1">
      <c r="A49" s="10"/>
      <c r="B49" s="12"/>
      <c r="C49" s="10"/>
      <c r="D49" s="10"/>
      <c r="E49" s="12"/>
      <c r="F49" s="12"/>
      <c r="G49" s="12"/>
      <c r="H49" s="12"/>
      <c r="I49" s="12"/>
      <c r="J49" s="10"/>
      <c r="K49" s="10"/>
      <c r="L49" s="1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0.0" customHeight="1">
      <c r="A50" s="7"/>
      <c r="B50" s="8"/>
      <c r="C50" s="7"/>
      <c r="D50" s="7"/>
      <c r="E50" s="8"/>
      <c r="F50" s="8"/>
      <c r="G50" s="8"/>
      <c r="H50" s="8"/>
      <c r="I50" s="8"/>
      <c r="J50" s="7"/>
      <c r="K50" s="7"/>
      <c r="L50" s="8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0.0" customHeight="1">
      <c r="A51" s="10"/>
      <c r="B51" s="12"/>
      <c r="C51" s="10"/>
      <c r="D51" s="10"/>
      <c r="E51" s="12"/>
      <c r="F51" s="12"/>
      <c r="G51" s="12"/>
      <c r="H51" s="12"/>
      <c r="I51" s="12"/>
      <c r="J51" s="10"/>
      <c r="K51" s="10"/>
      <c r="L51" s="1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0.0" customHeight="1">
      <c r="A52" s="7"/>
      <c r="B52" s="8"/>
      <c r="C52" s="7"/>
      <c r="D52" s="7"/>
      <c r="E52" s="8"/>
      <c r="F52" s="8"/>
      <c r="G52" s="8"/>
      <c r="H52" s="8"/>
      <c r="I52" s="8"/>
      <c r="J52" s="7"/>
      <c r="K52" s="7"/>
      <c r="L52" s="8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0.0" customHeight="1">
      <c r="A53" s="10"/>
      <c r="B53" s="12"/>
      <c r="C53" s="10"/>
      <c r="D53" s="10"/>
      <c r="E53" s="12"/>
      <c r="F53" s="12"/>
      <c r="G53" s="12"/>
      <c r="H53" s="12"/>
      <c r="I53" s="12"/>
      <c r="J53" s="10"/>
      <c r="K53" s="10"/>
      <c r="L53" s="1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0.0" customHeight="1">
      <c r="A54" s="7"/>
      <c r="B54" s="8"/>
      <c r="C54" s="7"/>
      <c r="D54" s="7"/>
      <c r="E54" s="8"/>
      <c r="F54" s="8"/>
      <c r="G54" s="8"/>
      <c r="H54" s="8"/>
      <c r="I54" s="8"/>
      <c r="J54" s="7"/>
      <c r="K54" s="7"/>
      <c r="L54" s="8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0.0" customHeight="1">
      <c r="A55" s="10"/>
      <c r="B55" s="12"/>
      <c r="C55" s="10"/>
      <c r="D55" s="10"/>
      <c r="E55" s="12"/>
      <c r="F55" s="12"/>
      <c r="G55" s="12"/>
      <c r="H55" s="12"/>
      <c r="I55" s="12"/>
      <c r="J55" s="10"/>
      <c r="K55" s="10"/>
      <c r="L55" s="1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0.0" customHeight="1">
      <c r="A56" s="7"/>
      <c r="B56" s="8"/>
      <c r="C56" s="7"/>
      <c r="D56" s="7"/>
      <c r="E56" s="8"/>
      <c r="F56" s="8"/>
      <c r="G56" s="8"/>
      <c r="H56" s="8"/>
      <c r="I56" s="8"/>
      <c r="J56" s="7"/>
      <c r="K56" s="7"/>
      <c r="L56" s="8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0.0" customHeight="1">
      <c r="A57" s="10"/>
      <c r="B57" s="12"/>
      <c r="C57" s="10"/>
      <c r="D57" s="10"/>
      <c r="E57" s="12"/>
      <c r="F57" s="12"/>
      <c r="G57" s="12"/>
      <c r="H57" s="12"/>
      <c r="I57" s="12"/>
      <c r="J57" s="10"/>
      <c r="K57" s="10"/>
      <c r="L57" s="1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0.0" customHeight="1">
      <c r="A58" s="7"/>
      <c r="B58" s="8"/>
      <c r="C58" s="7"/>
      <c r="D58" s="7"/>
      <c r="E58" s="8"/>
      <c r="F58" s="8"/>
      <c r="G58" s="8"/>
      <c r="H58" s="8"/>
      <c r="I58" s="8"/>
      <c r="J58" s="7"/>
      <c r="K58" s="7"/>
      <c r="L58" s="8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0.0" customHeight="1">
      <c r="A59" s="10"/>
      <c r="B59" s="12"/>
      <c r="C59" s="10"/>
      <c r="D59" s="10"/>
      <c r="E59" s="12"/>
      <c r="F59" s="12"/>
      <c r="G59" s="12"/>
      <c r="H59" s="12"/>
      <c r="I59" s="12"/>
      <c r="J59" s="10"/>
      <c r="K59" s="10"/>
      <c r="L59" s="1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0.0" customHeight="1">
      <c r="A60" s="7"/>
      <c r="B60" s="8"/>
      <c r="C60" s="7"/>
      <c r="D60" s="7"/>
      <c r="E60" s="8"/>
      <c r="F60" s="8"/>
      <c r="G60" s="8"/>
      <c r="H60" s="8"/>
      <c r="I60" s="8"/>
      <c r="J60" s="7"/>
      <c r="K60" s="7"/>
      <c r="L60" s="8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0.0" customHeight="1">
      <c r="A61" s="10"/>
      <c r="B61" s="12"/>
      <c r="C61" s="10"/>
      <c r="D61" s="10"/>
      <c r="E61" s="12"/>
      <c r="F61" s="12"/>
      <c r="G61" s="12"/>
      <c r="H61" s="12"/>
      <c r="I61" s="12"/>
      <c r="J61" s="10"/>
      <c r="K61" s="10"/>
      <c r="L61" s="1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0.0" customHeight="1">
      <c r="A62" s="7"/>
      <c r="B62" s="8"/>
      <c r="C62" s="7"/>
      <c r="D62" s="7"/>
      <c r="E62" s="8"/>
      <c r="F62" s="8"/>
      <c r="G62" s="8"/>
      <c r="H62" s="8"/>
      <c r="I62" s="8"/>
      <c r="J62" s="7"/>
      <c r="K62" s="7"/>
      <c r="L62" s="8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0.0" customHeight="1">
      <c r="A63" s="10"/>
      <c r="B63" s="12"/>
      <c r="C63" s="10"/>
      <c r="D63" s="10"/>
      <c r="E63" s="12"/>
      <c r="F63" s="12"/>
      <c r="G63" s="12"/>
      <c r="H63" s="12"/>
      <c r="I63" s="12"/>
      <c r="J63" s="10"/>
      <c r="K63" s="10"/>
      <c r="L63" s="1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3:$L$63"/>
  <mergeCells count="2">
    <mergeCell ref="A1:L1"/>
    <mergeCell ref="A2:L2"/>
  </mergeCells>
  <conditionalFormatting sqref="J4:J63">
    <cfRule type="cellIs" dxfId="0" priority="1" operator="equal">
      <formula>"Open"</formula>
    </cfRule>
  </conditionalFormatting>
  <conditionalFormatting sqref="J4:J63">
    <cfRule type="cellIs" dxfId="1" priority="2" operator="equal">
      <formula>"In Progress"</formula>
    </cfRule>
  </conditionalFormatting>
  <conditionalFormatting sqref="J4:J63">
    <cfRule type="cellIs" dxfId="2" priority="3" operator="equal">
      <formula>"Fixed"</formula>
    </cfRule>
  </conditionalFormatting>
  <conditionalFormatting sqref="J4:J63">
    <cfRule type="cellIs" dxfId="3" priority="4" operator="equal">
      <formula>"Closed"</formula>
    </cfRule>
  </conditionalFormatting>
  <conditionalFormatting sqref="J4:J63">
    <cfRule type="cellIs" dxfId="4" priority="5" operator="equal">
      <formula>"Reopened"</formula>
    </cfRule>
  </conditionalFormatting>
  <dataValidations>
    <dataValidation type="list" allowBlank="1" showInputMessage="1" showErrorMessage="1" prompt="Pilihan tidak valid - Pilih dari dropdown." sqref="J4:J63">
      <formula1>"Open,In Progress,Fixed,Closed,Reopened"</formula1>
    </dataValidation>
    <dataValidation type="list" allowBlank="1" showInputMessage="1" showErrorMessage="1" prompt="Pilihan tidak valid - Pilih dari dropdown." sqref="D4:D63">
      <formula1>"Critical,Major,Minor,Trivial"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8" width="14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9.75" customHeight="1">
      <c r="A2" s="4"/>
      <c r="B2" s="21" t="s">
        <v>108</v>
      </c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/>
      <c r="B3" s="22" t="s">
        <v>114</v>
      </c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4"/>
      <c r="B5" s="23" t="s">
        <v>115</v>
      </c>
      <c r="C5" s="24" t="s">
        <v>47</v>
      </c>
      <c r="D5" s="25" t="s">
        <v>116</v>
      </c>
      <c r="E5" s="26" t="s">
        <v>117</v>
      </c>
      <c r="F5" s="27" t="s">
        <v>118</v>
      </c>
      <c r="G5" s="28" t="s">
        <v>119</v>
      </c>
      <c r="H5" s="29" t="s">
        <v>120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3.5" customHeight="1">
      <c r="A6" s="4"/>
      <c r="B6" s="30">
        <f>COUNTA('Test Cases'!$A$5:$A$64)</f>
        <v>10</v>
      </c>
      <c r="C6" s="31">
        <f>C9</f>
        <v>10</v>
      </c>
      <c r="D6" s="32">
        <f>C10</f>
        <v>0</v>
      </c>
      <c r="E6" s="33">
        <f>C11</f>
        <v>0</v>
      </c>
      <c r="F6" s="34">
        <f>C12</f>
        <v>0</v>
      </c>
      <c r="G6" s="35">
        <f>IF(SUM(C9:C11)=0,0,C9/SUM(C9:C11))</f>
        <v>1</v>
      </c>
      <c r="H6" s="36">
        <f>COUNTIF('Bug Log'!$J$4:$J$63,"Open")+COUNTIF('Bug Log'!$J$4:$J$63,"Reopened")</f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4"/>
      <c r="B8" s="6" t="s">
        <v>12</v>
      </c>
      <c r="C8" s="6" t="s">
        <v>121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37" t="s">
        <v>47</v>
      </c>
      <c r="C9" s="38">
        <f>COUNTIF('Test Cases'!$N$5:$N$64,B9)</f>
        <v>10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"/>
      <c r="B10" s="37" t="s">
        <v>116</v>
      </c>
      <c r="C10" s="38">
        <f>COUNTIF('Test Cases'!$N$5:$N$64,B10)</f>
        <v>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4"/>
      <c r="B11" s="37" t="s">
        <v>117</v>
      </c>
      <c r="C11" s="38">
        <f>COUNTIF('Test Cases'!$N$5:$N$64,B11)</f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4"/>
      <c r="B12" s="37" t="s">
        <v>118</v>
      </c>
      <c r="C12" s="38">
        <f>COUNTIF('Test Cases'!$N$5:$N$64,B12)</f>
        <v>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/>
      <c r="B15" s="6" t="s">
        <v>27</v>
      </c>
      <c r="C15" s="6" t="s">
        <v>122</v>
      </c>
      <c r="D15" s="6" t="s">
        <v>47</v>
      </c>
      <c r="E15" s="6" t="s">
        <v>116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/>
      <c r="B16" s="37" t="s">
        <v>40</v>
      </c>
      <c r="C16" s="38">
        <f>COUNTIF('Test Cases'!$E$5:$E$64,B16)</f>
        <v>6</v>
      </c>
      <c r="D16" s="38">
        <f>COUNTIFS('Test Cases'!$E$5:$E$64,B16,'Test Cases'!$N$5:$N$64,"Pass")</f>
        <v>6</v>
      </c>
      <c r="E16" s="38">
        <f>COUNTIFS('Test Cases'!$E$5:$E$64,B16,'Test Cases'!$N$5:$N$64,"Fail")</f>
        <v>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37" t="s">
        <v>65</v>
      </c>
      <c r="C17" s="38">
        <f>COUNTIF('Test Cases'!$E$5:$E$64,B17)</f>
        <v>1</v>
      </c>
      <c r="D17" s="38">
        <f>COUNTIFS('Test Cases'!$E$5:$E$64,B17,'Test Cases'!$N$5:$N$64,"Pass")</f>
        <v>1</v>
      </c>
      <c r="E17" s="38">
        <f>COUNTIFS('Test Cases'!$E$5:$E$64,B17,'Test Cases'!$N$5:$N$64,"Fail")</f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/>
      <c r="B18" s="37" t="s">
        <v>72</v>
      </c>
      <c r="C18" s="38">
        <f>COUNTIF('Test Cases'!$E$5:$E$64,B18)</f>
        <v>1</v>
      </c>
      <c r="D18" s="38">
        <f>COUNTIFS('Test Cases'!$E$5:$E$64,B18,'Test Cases'!$N$5:$N$64,"Pass")</f>
        <v>1</v>
      </c>
      <c r="E18" s="38">
        <f>COUNTIFS('Test Cases'!$E$5:$E$64,B18,'Test Cases'!$N$5:$N$64,"Fail")</f>
        <v>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/>
      <c r="B19" s="37" t="s">
        <v>79</v>
      </c>
      <c r="C19" s="38">
        <f>COUNTIF('Test Cases'!$E$5:$E$64,B19)</f>
        <v>1</v>
      </c>
      <c r="D19" s="38">
        <f>COUNTIFS('Test Cases'!$E$5:$E$64,B19,'Test Cases'!$N$5:$N$64,"Pass")</f>
        <v>1</v>
      </c>
      <c r="E19" s="38">
        <f>COUNTIFS('Test Cases'!$E$5:$E$64,B19,'Test Cases'!$N$5:$N$64,"Fail")</f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/>
      <c r="B20" s="37" t="s">
        <v>86</v>
      </c>
      <c r="C20" s="38">
        <f>COUNTIF('Test Cases'!$E$5:$E$64,B20)</f>
        <v>1</v>
      </c>
      <c r="D20" s="38">
        <f>COUNTIFS('Test Cases'!$E$5:$E$64,B20,'Test Cases'!$N$5:$N$64,"Pass")</f>
        <v>1</v>
      </c>
      <c r="E20" s="38">
        <f>COUNTIFS('Test Cases'!$E$5:$E$64,B20,'Test Cases'!$N$5:$N$64,"Fail")</f>
        <v>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6" t="s">
        <v>26</v>
      </c>
      <c r="C22" s="6" t="s">
        <v>122</v>
      </c>
      <c r="D22" s="6" t="s">
        <v>47</v>
      </c>
      <c r="E22" s="6" t="s">
        <v>116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37" t="s">
        <v>39</v>
      </c>
      <c r="C23" s="38">
        <f>COUNTIF('Test Cases'!$D$5:$D$64,B23)</f>
        <v>9</v>
      </c>
      <c r="D23" s="38">
        <f>COUNTIFS('Test Cases'!$D$5:$D$64,B23,'Test Cases'!$N$5:$N$64,"Pass")</f>
        <v>9</v>
      </c>
      <c r="E23" s="38">
        <f>COUNTIFS('Test Cases'!$D$5:$D$64,B23,'Test Cases'!$N$5:$N$64,"Fail")</f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37" t="s">
        <v>106</v>
      </c>
      <c r="C24" s="38">
        <f>COUNTIF('Test Cases'!$D$5:$D$64,B24)</f>
        <v>1</v>
      </c>
      <c r="D24" s="38">
        <f>COUNTIFS('Test Cases'!$D$5:$D$64,B24,'Test Cases'!$N$5:$N$64,"Pass")</f>
        <v>1</v>
      </c>
      <c r="E24" s="38">
        <f>COUNTIFS('Test Cases'!$D$5:$D$64,B24,'Test Cases'!$N$5:$N$64,"Fail")</f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37" t="s">
        <v>123</v>
      </c>
      <c r="C25" s="38">
        <f>COUNTIF('Test Cases'!$D$5:$D$64,B25)</f>
        <v>0</v>
      </c>
      <c r="D25" s="38">
        <f>COUNTIFS('Test Cases'!$D$5:$D$64,B25,'Test Cases'!$N$5:$N$64,"Pass")</f>
        <v>0</v>
      </c>
      <c r="E25" s="38">
        <f>COUNTIFS('Test Cases'!$D$5:$D$64,B25,'Test Cases'!$N$5:$N$64,"Fail")</f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6" t="s">
        <v>124</v>
      </c>
      <c r="C27" s="6" t="s">
        <v>125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37" t="s">
        <v>126</v>
      </c>
      <c r="C28" s="39">
        <f>IF(COUNT('Test Cases'!$M$5:$M$64)=0,"-",AVERAGE('Test Cases'!$M$5:$M$64))</f>
        <v>477.8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37" t="s">
        <v>127</v>
      </c>
      <c r="C29" s="39">
        <f>IF(COUNT('Test Cases'!$M$5:$M$64)=0,"-",MAX('Test Cases'!$M$5:$M$64))</f>
        <v>1730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0" t="s">
        <v>128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B2:H2"/>
    <mergeCell ref="B3:H3"/>
  </mergeCells>
  <printOptions/>
  <pageMargins bottom="1.0" footer="0.0" header="0.0" left="0.75" right="0.75" top="1.0"/>
  <pageSetup paperSize="9" orientation="portrait"/>
  <drawing r:id="rId1"/>
</worksheet>
</file>